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<sst xmlns="http://schemas.openxmlformats.org/spreadsheetml/2006/main" count="58" uniqueCount="54">
  <si>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t xml:space="preserve">Проффессия</t>
  </si>
  <si>
    <t xml:space="preserve">Маркетолог</t>
  </si>
  <si>
    <t xml:space="preserve">Образование</t>
  </si>
  <si>
    <t xml:space="preserve">Магистр</t>
  </si>
  <si>
    <t xml:space="preserve">Учебное заведение</t>
  </si>
  <si>
    <t xml:space="preserve">Московский финансово-промышленный университет "Синергия", Москва</t>
  </si>
  <si>
    <t xml:space="preserve">Факультет и специализация</t>
  </si>
  <si>
    <t xml:space="preserve">Маркетинг</t>
  </si>
  <si>
    <t xml:space="preserve">Год окончания</t>
  </si>
  <si>
    <t xml:space="preserve">Навыки</t>
  </si>
  <si>
    <t xml:space="preserve">Уровень навыка</t>
  </si>
  <si>
    <t xml:space="preserve">-</t>
  </si>
  <si>
    <t xml:space="preserve">Продвижение бренда  </t>
  </si>
  <si>
    <t xml:space="preserve">Маркетинговые коммуникации  </t>
  </si>
  <si>
    <t xml:space="preserve">Интернет-реклама  </t>
  </si>
  <si>
    <t xml:space="preserve">Разработка маркетинговой стратегии  </t>
  </si>
  <si>
    <t xml:space="preserve">Аналитическое мышление  </t>
  </si>
  <si>
    <t xml:space="preserve">Маркетинговое планирование  </t>
  </si>
  <si>
    <t xml:space="preserve">Планирование рекламных кампаний  </t>
  </si>
  <si>
    <t xml:space="preserve">Таргетинг </t>
  </si>
  <si>
    <t xml:space="preserve">Вывод компании на рынок  </t>
  </si>
  <si>
    <t xml:space="preserve">Яндекс.Метрика  </t>
  </si>
  <si>
    <t xml:space="preserve">Яндекс.Директ  </t>
  </si>
  <si>
    <t xml:space="preserve">Графические редакторы</t>
  </si>
  <si>
    <t xml:space="preserve">СЕО Продвижение</t>
  </si>
  <si>
    <t xml:space="preserve">Компания 1</t>
  </si>
  <si>
    <t xml:space="preserve">Компания 2</t>
  </si>
  <si>
    <t xml:space="preserve">Компания 3</t>
  </si>
  <si>
    <t xml:space="preserve">Компания 4</t>
  </si>
  <si>
    <t xml:space="preserve">Название</t>
  </si>
  <si>
    <t xml:space="preserve">Строй Проект, Технострой, Эко Строй, Строй Лидер, Здание 360, ЗемляВидение, СтройЭксперт</t>
  </si>
  <si>
    <t xml:space="preserve">СпецТехПарк, ТехМастерСервис,Строй Профи, Техно Рост, Строй Мастер Групп, Техно Прогресс, Техно Визор, Строй Ключ</t>
  </si>
  <si>
    <t xml:space="preserve">Звёздный город, Концерт ПРО, Артист Паблик, Промо ГУРУ, Звёздный хит, Промо Мастер, Звёздный луч, </t>
  </si>
  <si>
    <t xml:space="preserve">ФЦБ, НИКРОМ, Банкирро, Чистый Лист, А. Банкротство, Финансовая Грамота, Единый Центр Банкротства, ОК Банкрот, Свобода</t>
  </si>
  <si>
    <t xml:space="preserve">Должность</t>
  </si>
  <si>
    <t xml:space="preserve">Помощник маркетолога</t>
  </si>
  <si>
    <t xml:space="preserve">Интернет-маркетолог</t>
  </si>
  <si>
    <t xml:space="preserve">Ведущий - интернет маркетолог.</t>
  </si>
  <si>
    <t xml:space="preserve">Директор по маркетингу</t>
  </si>
  <si>
    <t xml:space="preserve">Описание</t>
  </si>
  <si>
    <t xml:space="preserve">КОМПАНИЯ ЗАНИМАЕТСЯ: Проектированием и согласованием технической документации. 
Смежные направления:
- Продажа земельных участков.
- Малоэтажное строительство.
- Продажа оборудований и материалов.
Цели и задачи:
- Увеличение онлайн-продаж и привлечение клиентов.
- Повышение узнаваемости бренда.
- Улучшения системы лояльности.
Методики и инструменты:
- Конкуретный маркетинг. (Кросс маркетинг)
- SEO, контекстная реклама, таргетинг в соцсетях.
- Контент: Блоги, видео, обзоры.
- Аналитика: Инструменты и CRM для отслеживания и управления.
Результаты:
- Продажи выросли в ДВОЕ, за счёт запуска смежныйх направлений. 
- За счёт внедрения системы лояльности заработал "Сарафанный маркетинг" </t>
  </si>
  <si>
    <t xml:space="preserve">КОМПАНИЯ ЗАНИМАЕТСЯ: Арендой спецтехники, и оптовыми продажами. 
ЦЕЛИ И ЗАДАЧИ:
- Увеличение доли рынка.
- Расширение клиентской базы и укрепление позиций в аренде спецтехники и оптовых   продажах.
- Повышение узнаваемости бренда.
- Создание ассоциации с надежностью и качеством в виде подрядчика.
Инструменты и методики:
- Цифровой маркетинг.
- Таргетированные кампании и SEO-оптимизация.
- Образовательные статьи и вебинары.
Достигнутые результаты:
- Доля рынка.
- Рост клиентской базы на 30%.
- Узнаваемость бренда.
- Увеличение упоминаний на 35%.
- Удовлетворенность клиентов выросла на 40%.</t>
  </si>
  <si>
    <t xml:space="preserve">Промоутерская компания специализируется на организации гастролей и
сольных концертов звезд.
ЦЕЛИ И ЗАДАЧИ:
- Продвигать концерты Скриптонита, T-Festa, Елки, Арии, Макса Коржа, и еще десятка известных исполнителей.
ИНСТРУМЕНТЫ И МЕТОДИКИ:
- Контекстная реклама, таргетинг, медиа-реклама.
- Таргетированные кампании и SEO-оптимизация.
РЕЗУЛЬТАТЫ:
- Продано более 9 тыс. билетов на концерты в разных городах России</t>
  </si>
  <si>
    <t xml:space="preserve">Компания занимается Банкротством физических лиц. 
Цели и задачи:
- Увеличение узнаваемости бренда
- Разработка маркетинговой стратегии и создание 
   доступного контента.
- Привлечение новых клиентов:
- Запуск рекламных кампаний и оптимизация SEO.
Достигнутые результаты:
- Узнаваемость бренда.
- Рост на 40% за первый год.
- Привлечение клиентов.
- Увеличение обращений на 37% и рост конверсии на 15%.</t>
  </si>
  <si>
    <t xml:space="preserve">Начало месяц</t>
  </si>
  <si>
    <t xml:space="preserve">Февраль</t>
  </si>
  <si>
    <t xml:space="preserve">Март</t>
  </si>
  <si>
    <t xml:space="preserve">Октябрь</t>
  </si>
  <si>
    <t xml:space="preserve">Август</t>
  </si>
  <si>
    <t xml:space="preserve">Начало год</t>
  </si>
  <si>
    <t xml:space="preserve">Окончание месяц</t>
  </si>
  <si>
    <t xml:space="preserve">НВ</t>
  </si>
  <si>
    <t xml:space="preserve">Окончание год</t>
  </si>
  <si>
    <t xml:space="preserve">ПОЖАЛУЙСТА ОЗНАКОМЬТЕСЬ С МОИМ СОПРОВОДИТЕЛЬНЫМ ПИСЬМОМ! 
Я буду рад поработать с вами. 
- Как руководитель маркетинга, я возглавляю команду экспертов, которые превышают цели и увеличивают доходы компании. За одну заработную плату указанную у вас в вакансии, мы с командой из 4 специалистов, покажем, почему лучше обратиться к нам, чем к штатному маркетологу.
- Наши партнёры видят рост трафика и конверсий благодаря нашим индивидуальным стратегиям и глубокому анализу рынка. 
МЫ ГОТОВЫ сделать для вас бесплатный АУДИТ. Чтобы вы могли убедиться в нашей эффективности и увидеть первые результаты без каких-либо обязательств.
- ДАЁМ ГАРАНТИЮ ВОЗВРАТА СРЕДСТВ ЕСЛИ НЕ ПОКАЖЕМ РЕЗУЛЬТАТА!
Не нужно думать! Пора зарабатывать! Жду вашего звонка)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</si>
</sst>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204"/>
    </font>
    <font>
      <sz val="11"/>
      <color rgb="FFFF0000"/>
      <name val="Calibri"/>
      <family val="2"/>
      <charset val="204"/>
    </font>
    <font>
      <sz val="9"/>
      <color rgb="FFFF0000"/>
      <name val="Arial"/>
      <family val="2"/>
      <charset val="204"/>
    </font>
    <font>
      <sz val="11"/>
      <color rgb="FF1E1E1E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CCCCC"/>
      </patternFill>
    </fill>
    <fill>
      <patternFill patternType="solid">
        <fgColor rgb="FFCCCCCC"/>
        <bgColor rgb="FFBFBFBF"/>
      </patternFill>
    </fill>
    <fill>
      <patternFill patternType="solid">
        <fgColor theme="9" tint="0.5999"/>
        <bgColor rgb="FFD9D9D9"/>
      </patternFill>
    </fill>
    <fill>
      <patternFill patternType="solid">
        <fgColor theme="0" tint="-0.25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32" colorId="64" zoomScale="85" zoomScaleNormal="85" zoomScalePageLayoutView="100" workbookViewId="0">
      <selection pane="topLeft" activeCell="F33" activeCellId="0" sqref="F33"/>
    </sheetView>
  </sheetViews>
  <sheetFormatPr defaultColWidth="20.70703125" defaultRowHeight="15" zeroHeight="false" outlineLevelRow="0" outlineLevelCol="0"/>
  <cols>
    <col collapsed="false" customWidth="false" hidden="false" outlineLevel="0" max="5" min="1" style="1" width="20.71"/>
    <col collapsed="false" customWidth="true" hidden="false" outlineLevel="0" max="6" min="6" style="1" width="40.71"/>
    <col collapsed="false" customWidth="false" hidden="false" outlineLevel="0" max="16384" min="7" style="1" width="20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4"/>
      <c r="D1" s="4"/>
      <c r="E1" s="5"/>
      <c r="F1" s="4"/>
      <c r="G1" s="6"/>
      <c r="H1" s="6"/>
      <c r="I1" s="6"/>
    </row>
    <row r="2" customFormat="false" ht="15" hidden="false" customHeight="true" outlineLevel="0" collapsed="false">
      <c r="A2" s="4"/>
      <c r="B2" s="4"/>
      <c r="C2" s="4"/>
      <c r="D2" s="4"/>
      <c r="E2" s="7"/>
      <c r="F2" s="4"/>
      <c r="G2" s="8"/>
      <c r="H2" s="8"/>
      <c r="I2" s="8"/>
    </row>
    <row r="3" customFormat="false" ht="15" hidden="false" customHeight="true" outlineLevel="0" collapsed="false">
      <c r="A3" s="9" t="s">
        <v>2</v>
      </c>
      <c r="B3" s="10" t="s">
        <v>3</v>
      </c>
      <c r="C3" s="4"/>
      <c r="D3" s="4"/>
      <c r="E3" s="8"/>
      <c r="F3" s="8"/>
      <c r="G3" s="8"/>
      <c r="H3" s="8"/>
      <c r="I3" s="8"/>
    </row>
    <row r="4" customFormat="false" ht="15" hidden="false" customHeight="true" outlineLevel="0" collapsed="false">
      <c r="A4" s="11" t="s">
        <v>4</v>
      </c>
      <c r="B4" s="10" t="s">
        <v>5</v>
      </c>
      <c r="C4" s="4"/>
      <c r="D4" s="4"/>
      <c r="E4" s="8"/>
      <c r="F4" s="8"/>
      <c r="G4" s="8"/>
      <c r="H4" s="8"/>
      <c r="I4" s="8"/>
    </row>
    <row r="5" customFormat="false" ht="28.35" hidden="false" customHeight="false" outlineLevel="0" collapsed="false">
      <c r="A5" s="9" t="s">
        <v>6</v>
      </c>
      <c r="B5" s="10" t="s">
        <v>7</v>
      </c>
      <c r="C5" s="4"/>
      <c r="D5" s="4"/>
      <c r="E5" s="8"/>
      <c r="F5" s="8"/>
      <c r="G5" s="8"/>
      <c r="H5" s="8"/>
      <c r="I5" s="8"/>
    </row>
    <row r="6" customFormat="false" ht="15" hidden="false" customHeight="true" outlineLevel="0" collapsed="false">
      <c r="A6" s="9" t="s">
        <v>8</v>
      </c>
      <c r="B6" s="12" t="n">
        <v>2020</v>
      </c>
      <c r="C6" s="4"/>
      <c r="D6" s="4"/>
      <c r="E6" s="8"/>
      <c r="F6" s="8"/>
      <c r="G6" s="8"/>
      <c r="H6" s="8"/>
      <c r="I6" s="8"/>
    </row>
    <row r="7" customFormat="false" ht="15" hidden="false" customHeight="true" outlineLevel="0" collapsed="false">
      <c r="A7" s="4"/>
      <c r="B7" s="4"/>
      <c r="C7" s="4"/>
      <c r="D7" s="4"/>
      <c r="E7" s="8"/>
      <c r="F7" s="8"/>
      <c r="G7" s="8"/>
      <c r="H7" s="8"/>
      <c r="I7" s="8"/>
    </row>
    <row r="8" customFormat="false" ht="15" hidden="false" customHeight="true" outlineLevel="0" collapsed="false">
      <c r="A8" s="4"/>
      <c r="B8" s="4"/>
      <c r="C8" s="4"/>
      <c r="D8" s="4"/>
      <c r="E8" s="8"/>
      <c r="F8" s="8"/>
      <c r="G8" s="8"/>
      <c r="H8" s="8"/>
      <c r="I8" s="8"/>
    </row>
    <row r="9" customFormat="false" ht="15" hidden="false" customHeight="true" outlineLevel="0" collapsed="false">
      <c r="A9" s="4"/>
      <c r="B9" s="4"/>
      <c r="C9" s="4"/>
      <c r="D9" s="4"/>
      <c r="E9" s="8"/>
      <c r="F9" s="8"/>
      <c r="G9" s="8"/>
      <c r="H9" s="8"/>
      <c r="I9" s="8"/>
    </row>
    <row r="10" customFormat="false" ht="15" hidden="false" customHeight="true" outlineLevel="0" collapsed="false">
      <c r="A10" s="8"/>
      <c r="B10" s="4"/>
      <c r="C10" s="4"/>
      <c r="D10" s="4"/>
      <c r="E10" s="8"/>
      <c r="F10" s="8"/>
      <c r="G10" s="8"/>
      <c r="H10" s="8"/>
      <c r="I10" s="8"/>
    </row>
    <row r="11" customFormat="false" ht="15" hidden="false" customHeight="true" outlineLevel="0" collapsed="false">
      <c r="A11" s="9" t="s">
        <v>9</v>
      </c>
      <c r="B11" s="9" t="s">
        <v>10</v>
      </c>
      <c r="C11" s="4"/>
      <c r="D11" s="4"/>
      <c r="E11" s="8"/>
      <c r="F11" s="8"/>
      <c r="G11" s="8"/>
      <c r="H11" s="8"/>
      <c r="I11" s="8"/>
    </row>
    <row r="12" customFormat="false" ht="15" hidden="false" customHeight="true" outlineLevel="0" collapsed="false">
      <c r="A12" s="13" t="n">
        <f aca="false">15 - COUNTIF(A13:A27,"")</f>
        <v>13</v>
      </c>
      <c r="B12" s="13" t="s">
        <v>11</v>
      </c>
      <c r="C12" s="4"/>
      <c r="D12" s="4"/>
      <c r="E12" s="8"/>
      <c r="F12" s="8"/>
      <c r="G12" s="8"/>
      <c r="H12" s="8"/>
      <c r="I12" s="8"/>
    </row>
    <row r="13" customFormat="false" ht="15" hidden="false" customHeight="true" outlineLevel="0" collapsed="false">
      <c r="A13" s="14" t="s">
        <v>12</v>
      </c>
      <c r="B13" s="15" t="n">
        <v>3</v>
      </c>
      <c r="C13" s="4"/>
      <c r="D13" s="4"/>
      <c r="E13" s="8"/>
      <c r="F13" s="8"/>
      <c r="G13" s="8"/>
      <c r="H13" s="8"/>
      <c r="I13" s="8"/>
    </row>
    <row r="14" customFormat="false" ht="15" hidden="false" customHeight="true" outlineLevel="0" collapsed="false">
      <c r="A14" s="14" t="s">
        <v>13</v>
      </c>
      <c r="B14" s="15" t="n">
        <v>3</v>
      </c>
      <c r="C14" s="4"/>
      <c r="D14" s="4"/>
      <c r="E14" s="8"/>
      <c r="F14" s="8"/>
      <c r="G14" s="8"/>
      <c r="H14" s="8"/>
      <c r="I14" s="8"/>
    </row>
    <row r="15" customFormat="false" ht="15" hidden="false" customHeight="true" outlineLevel="0" collapsed="false">
      <c r="A15" s="14" t="s">
        <v>14</v>
      </c>
      <c r="B15" s="15" t="n">
        <v>3</v>
      </c>
      <c r="C15" s="4"/>
      <c r="D15" s="4"/>
      <c r="E15" s="8"/>
      <c r="F15" s="8"/>
      <c r="G15" s="8"/>
      <c r="H15" s="8"/>
      <c r="I15" s="8"/>
    </row>
    <row r="16" customFormat="false" ht="15" hidden="false" customHeight="true" outlineLevel="0" collapsed="false">
      <c r="A16" s="14" t="s">
        <v>15</v>
      </c>
      <c r="B16" s="15" t="n">
        <v>3</v>
      </c>
      <c r="C16" s="4"/>
      <c r="D16" s="4"/>
      <c r="E16" s="8"/>
      <c r="F16" s="8"/>
      <c r="G16" s="8"/>
      <c r="H16" s="8"/>
      <c r="I16" s="8"/>
    </row>
    <row r="17" customFormat="false" ht="15" hidden="false" customHeight="true" outlineLevel="0" collapsed="false">
      <c r="A17" s="14" t="s">
        <v>16</v>
      </c>
      <c r="B17" s="15" t="n">
        <v>3</v>
      </c>
      <c r="C17" s="4"/>
      <c r="D17" s="4"/>
      <c r="E17" s="8"/>
      <c r="F17" s="8"/>
      <c r="G17" s="8"/>
      <c r="H17" s="8"/>
      <c r="I17" s="8"/>
    </row>
    <row r="18" customFormat="false" ht="28.35" hidden="false" customHeight="false" outlineLevel="0" collapsed="false">
      <c r="A18" s="14" t="s">
        <v>17</v>
      </c>
      <c r="B18" s="15" t="n">
        <v>3</v>
      </c>
      <c r="C18" s="4"/>
    </row>
    <row r="19" customFormat="false" ht="28.35" hidden="false" customHeight="false" outlineLevel="0" collapsed="false">
      <c r="A19" s="14" t="s">
        <v>18</v>
      </c>
      <c r="B19" s="15" t="n">
        <v>3</v>
      </c>
      <c r="C19" s="4"/>
    </row>
    <row r="20" customFormat="false" ht="15" hidden="false" customHeight="false" outlineLevel="0" collapsed="false">
      <c r="A20" s="16" t="s">
        <v>19</v>
      </c>
      <c r="B20" s="17" t="n">
        <v>2</v>
      </c>
      <c r="C20" s="4"/>
      <c r="D20" s="4"/>
      <c r="E20" s="4"/>
      <c r="F20" s="18"/>
      <c r="G20" s="18"/>
      <c r="H20" s="18"/>
      <c r="I20" s="18"/>
    </row>
    <row r="21" customFormat="false" ht="15" hidden="false" customHeight="true" outlineLevel="0" collapsed="false">
      <c r="A21" s="16" t="s">
        <v>20</v>
      </c>
      <c r="B21" s="17" t="n">
        <v>2</v>
      </c>
      <c r="C21" s="4"/>
      <c r="D21" s="4"/>
      <c r="E21" s="4"/>
      <c r="G21" s="18"/>
      <c r="H21" s="18"/>
      <c r="I21" s="18"/>
    </row>
    <row r="22" customFormat="false" ht="15" hidden="false" customHeight="false" outlineLevel="0" collapsed="false">
      <c r="A22" s="16" t="s">
        <v>21</v>
      </c>
      <c r="B22" s="17" t="n">
        <v>3</v>
      </c>
      <c r="C22" s="4"/>
      <c r="D22" s="4"/>
      <c r="E22" s="4"/>
      <c r="F22" s="18"/>
      <c r="G22" s="18"/>
      <c r="H22" s="18"/>
      <c r="I22" s="18"/>
    </row>
    <row r="23" customFormat="false" ht="240" hidden="false" customHeight="true" outlineLevel="0" collapsed="false">
      <c r="A23" s="16" t="s">
        <v>22</v>
      </c>
      <c r="B23" s="17" t="n">
        <v>3</v>
      </c>
      <c r="C23" s="4"/>
      <c r="D23" s="4"/>
      <c r="E23" s="4"/>
      <c r="F23" s="18"/>
      <c r="G23" s="18"/>
      <c r="H23" s="18"/>
      <c r="I23" s="18"/>
    </row>
    <row r="24" customFormat="false" ht="28.35" hidden="false" customHeight="false" outlineLevel="0" collapsed="false">
      <c r="A24" s="16" t="s">
        <v>23</v>
      </c>
      <c r="B24" s="17" t="n">
        <v>2</v>
      </c>
      <c r="C24" s="4"/>
      <c r="D24" s="4"/>
      <c r="E24" s="4"/>
    </row>
    <row r="25" customFormat="false" ht="15" hidden="false" customHeight="false" outlineLevel="0" collapsed="false">
      <c r="A25" s="16" t="s">
        <v>24</v>
      </c>
      <c r="B25" s="17" t="n">
        <v>3</v>
      </c>
      <c r="C25" s="4"/>
      <c r="D25" s="4"/>
      <c r="E25" s="4"/>
      <c r="F25" s="18"/>
      <c r="G25" s="18"/>
      <c r="H25" s="18"/>
      <c r="I25" s="18"/>
    </row>
    <row r="26" customFormat="false" ht="15" hidden="false" customHeight="false" outlineLevel="0" collapsed="false">
      <c r="A26" s="16"/>
      <c r="B26" s="17"/>
      <c r="C26" s="4"/>
      <c r="D26" s="4"/>
      <c r="E26" s="4"/>
    </row>
    <row r="27" customFormat="false" ht="15" hidden="false" customHeight="false" outlineLevel="0" collapsed="false">
      <c r="A27" s="16"/>
      <c r="B27" s="17"/>
      <c r="C27" s="4"/>
      <c r="D27" s="4"/>
      <c r="E27" s="4"/>
      <c r="F27" s="18"/>
      <c r="G27" s="18"/>
      <c r="H27" s="18"/>
      <c r="I27" s="18"/>
    </row>
    <row r="28" customFormat="false" ht="15" hidden="false" customHeight="false" outlineLevel="0" collapsed="false">
      <c r="A28" s="4"/>
      <c r="B28" s="4"/>
      <c r="C28" s="4"/>
      <c r="D28" s="4"/>
      <c r="E28" s="4"/>
    </row>
    <row r="29" customFormat="false" ht="15" hidden="false" customHeight="false" outlineLevel="0" collapsed="false">
      <c r="A29" s="4"/>
      <c r="B29" s="4"/>
      <c r="C29" s="4"/>
      <c r="D29" s="4"/>
      <c r="E29" s="4"/>
    </row>
    <row r="30" customFormat="false" ht="15" hidden="false" customHeight="false" outlineLevel="0" collapsed="false">
      <c r="A30" s="19" t="n">
        <f aca="false">4 - COUNTIF(B31:E31,"")</f>
        <v>4</v>
      </c>
      <c r="B30" s="20" t="s">
        <v>25</v>
      </c>
      <c r="C30" s="20" t="s">
        <v>26</v>
      </c>
      <c r="D30" s="20" t="s">
        <v>27</v>
      </c>
      <c r="E30" s="20" t="s">
        <v>28</v>
      </c>
    </row>
    <row r="31" customFormat="false" ht="75.5" hidden="false" customHeight="false" outlineLevel="0" collapsed="false">
      <c r="A31" s="20" t="s">
        <v>29</v>
      </c>
      <c r="B31" s="10" t="s">
        <v>30</v>
      </c>
      <c r="C31" s="10" t="s">
        <v>31</v>
      </c>
      <c r="D31" s="10" t="s">
        <v>32</v>
      </c>
      <c r="E31" s="21" t="s">
        <v>33</v>
      </c>
    </row>
    <row r="32" customFormat="false" ht="26.3" hidden="false" customHeight="false" outlineLevel="0" collapsed="false">
      <c r="A32" s="20" t="s">
        <v>34</v>
      </c>
      <c r="B32" s="10" t="s">
        <v>35</v>
      </c>
      <c r="C32" s="10" t="s">
        <v>36</v>
      </c>
      <c r="D32" s="10" t="s">
        <v>37</v>
      </c>
      <c r="E32" s="21" t="s">
        <v>38</v>
      </c>
    </row>
    <row r="33" customFormat="false" ht="530.25" hidden="false" customHeight="false" outlineLevel="0" collapsed="false">
      <c r="A33" s="20" t="s">
        <v>39</v>
      </c>
      <c r="B33" s="10" t="s">
        <v>40</v>
      </c>
      <c r="C33" s="10" t="s">
        <v>41</v>
      </c>
      <c r="D33" s="10" t="s">
        <v>42</v>
      </c>
      <c r="E33" s="21" t="s">
        <v>43</v>
      </c>
    </row>
    <row r="34" customFormat="false" ht="15" hidden="false" customHeight="false" outlineLevel="0" collapsed="false">
      <c r="A34" s="20" t="s">
        <v>44</v>
      </c>
      <c r="B34" s="22" t="s">
        <v>45</v>
      </c>
      <c r="C34" s="22" t="s">
        <v>46</v>
      </c>
      <c r="D34" s="22" t="s">
        <v>47</v>
      </c>
      <c r="E34" s="23" t="s">
        <v>48</v>
      </c>
    </row>
    <row r="35" customFormat="false" ht="15" hidden="false" customHeight="false" outlineLevel="0" collapsed="false">
      <c r="A35" s="20" t="s">
        <v>49</v>
      </c>
      <c r="B35" s="22" t="n">
        <v>2016</v>
      </c>
      <c r="C35" s="22" t="n">
        <v>2018</v>
      </c>
      <c r="D35" s="22" t="n">
        <v>2020</v>
      </c>
      <c r="E35" s="23" t="n">
        <v>2022</v>
      </c>
    </row>
    <row r="36" customFormat="false" ht="15" hidden="false" customHeight="false" outlineLevel="0" collapsed="false">
      <c r="A36" s="20" t="s">
        <v>50</v>
      </c>
      <c r="B36" s="22" t="s">
        <v>46</v>
      </c>
      <c r="C36" s="23" t="s">
        <v>51</v>
      </c>
      <c r="D36" s="22" t="s">
        <v>48</v>
      </c>
      <c r="E36" s="23" t="s">
        <v>51</v>
      </c>
    </row>
    <row r="37" customFormat="false" ht="15" hidden="false" customHeight="false" outlineLevel="0" collapsed="false">
      <c r="A37" s="20" t="s">
        <v>52</v>
      </c>
      <c r="B37" s="22" t="n">
        <v>2018</v>
      </c>
      <c r="C37" s="23"/>
      <c r="D37" s="22" t="n">
        <v>2022</v>
      </c>
      <c r="E37" s="23"/>
    </row>
    <row r="38" customFormat="false" ht="15" hidden="false" customHeight="false" outlineLevel="0" collapsed="false">
      <c r="B38" s="24" t="n">
        <f aca="false">MATCH(B34,{"Январь";"Февраль";"Март";"Апрель";"Май";"Июнь";"Июль";"Август";"Сентябрь";"Октябрь";"Ноябрь";"Декабрь"},)</f>
        <v>2</v>
      </c>
      <c r="C38" s="24" t="n">
        <f aca="false">MATCH(C34,{"Январь";"Февраль";"Март";"Апрель";"Май";"Июнь";"Июль";"Август";"Сентябрь";"Октябрь";"Ноябрь";"Декабрь"},)</f>
        <v>3</v>
      </c>
      <c r="D38" s="24" t="n">
        <f aca="false">MATCH(D34,{"Январь";"Февраль";"Март";"Апрель";"Май";"Июнь";"Июль";"Август";"Сентябрь";"Октябрь";"Ноябрь";"Декабрь"},)</f>
        <v>10</v>
      </c>
      <c r="E38" s="24" t="n">
        <f aca="false">MATCH(E34,{"Январь";"Февраль";"Март";"Апрель";"Май";"Июнь";"Июль";"Август";"Сентябрь";"Октябрь";"Ноябрь";"Декабрь"},)</f>
        <v>8</v>
      </c>
    </row>
    <row r="39" customFormat="false" ht="15" hidden="false" customHeight="false" outlineLevel="0" collapsed="false">
      <c r="B39" s="19" t="n">
        <f aca="false">MATCH(B36,{"Январь";"Февраль";"Март";"Апрель";"Май";"Июнь";"Июль";"Август";"Сентябрь";"Октябрь";"Ноябрь";"Декабрь";"НВ"},)</f>
        <v>3</v>
      </c>
      <c r="C39" s="19" t="n">
        <f aca="false">MATCH(C36,{"Январь";"Февраль";"Март";"Апрель";"Май";"Июнь";"Июль";"Август";"Сентябрь";"Октябрь";"Ноябрь";"Декабрь";"НВ"},)</f>
        <v>13</v>
      </c>
      <c r="D39" s="19" t="n">
        <f aca="false">MATCH(D36,{"Январь";"Февраль";"Март";"Апрель";"Май";"Июнь";"Июль";"Август";"Сентябрь";"Октябрь";"Ноябрь";"Декабрь";"НВ"},)</f>
        <v>8</v>
      </c>
      <c r="E39" s="19" t="n">
        <f aca="false">MATCH(E36,{"Январь";"Февраль";"Март";"Апрель";"Май";"Июнь";"Июль";"Август";"Сентябрь";"Октябрь";"Ноябрь";"Декабрь";"НВ"},)</f>
        <v>13</v>
      </c>
    </row>
    <row r="40" customFormat="false" ht="15" hidden="false" customHeight="false" outlineLevel="0" collapsed="false">
      <c r="B40" s="25"/>
      <c r="C40" s="25"/>
      <c r="D40" s="25"/>
      <c r="E40" s="25"/>
    </row>
    <row r="41" customFormat="false" ht="15" hidden="false" customHeight="false" outlineLevel="0" collapsed="false">
      <c r="B41" s="25"/>
      <c r="C41" s="25"/>
      <c r="D41" s="25"/>
      <c r="E41" s="25"/>
    </row>
    <row r="42" customFormat="false" ht="15" hidden="false" customHeight="false" outlineLevel="0" collapsed="false">
      <c r="A42" s="9" t="s">
        <v>39</v>
      </c>
      <c r="B42" s="25"/>
      <c r="C42" s="25"/>
      <c r="D42" s="25"/>
      <c r="E42" s="25"/>
    </row>
    <row r="43" customFormat="false" ht="659.7" hidden="false" customHeight="false" outlineLevel="0" collapsed="false">
      <c r="A43" s="14" t="s">
        <v>53</v>
      </c>
      <c r="B43" s="25"/>
      <c r="C43" s="25"/>
      <c r="D43" s="25"/>
      <c r="E43" s="25"/>
    </row>
  </sheetData>
  <dataValidations count="1">
    <dataValidation allowBlank="true" errorStyle="stop" operator="equal" showDropDown="false" showErrorMessage="true" showInputMessage="false" sqref="B3" type="list">
      <formula1>"Среднее,Среднее специальное,Неоконченное высшее,Высшее,Бакалавр,Магистр,Кандидат наук,Доктор наук"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2024-12-10T12:37:19Z</dcterms:created>
  <dc:creator>Матвей Саранчин</dc:creator>
  <dc:description/>
  <dc:language>ru-RU</dc:language>
  <cp:lastModifiedBy/>
  <dcterms:modified xsi:type="dcterms:W3CDTF">2025-03-24T20:17:48Z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