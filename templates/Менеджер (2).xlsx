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<sst xmlns="http://schemas.openxmlformats.org/spreadsheetml/2006/main" count="57" uniqueCount="51">
  <si>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Проффессия</t>
  </si>
  <si>
    <t xml:space="preserve">Менеджер по продажам</t>
  </si>
  <si>
    <t xml:space="preserve">Образование</t>
  </si>
  <si>
    <t xml:space="preserve">Магистр</t>
  </si>
  <si>
    <t xml:space="preserve">Учебное заведение</t>
  </si>
  <si>
    <t xml:space="preserve">Тюменский государственный университет</t>
  </si>
  <si>
    <t xml:space="preserve">Факультет и специализация</t>
  </si>
  <si>
    <t xml:space="preserve">Экономика и управление на предприятии (по отраслям)</t>
  </si>
  <si>
    <t xml:space="preserve">Год окончания</t>
  </si>
  <si>
    <t xml:space="preserve">Навыки</t>
  </si>
  <si>
    <t xml:space="preserve">Уровень навыка</t>
  </si>
  <si>
    <t xml:space="preserve">-</t>
  </si>
  <si>
    <t xml:space="preserve">Навыки переговоров  </t>
  </si>
  <si>
    <t xml:space="preserve">KPI</t>
  </si>
  <si>
    <t xml:space="preserve">Управление отношениями с клиентами  </t>
  </si>
  <si>
    <t xml:space="preserve">Активные продажи  </t>
  </si>
  <si>
    <t xml:space="preserve">Развитие продаж  </t>
  </si>
  <si>
    <t xml:space="preserve">Планирование продаж  </t>
  </si>
  <si>
    <t xml:space="preserve">Аналитика продаж  </t>
  </si>
  <si>
    <t xml:space="preserve">Организаторские навыки  </t>
  </si>
  <si>
    <t xml:space="preserve">Навыки продаж  </t>
  </si>
  <si>
    <t xml:space="preserve">Прямые продажи  </t>
  </si>
  <si>
    <t xml:space="preserve">Деловая коммуникация  </t>
  </si>
  <si>
    <t xml:space="preserve">Холодные продажи</t>
  </si>
  <si>
    <t xml:space="preserve">Компания 1</t>
  </si>
  <si>
    <t xml:space="preserve">Компания 2</t>
  </si>
  <si>
    <t xml:space="preserve">Компания 3</t>
  </si>
  <si>
    <t xml:space="preserve">Компания 4</t>
  </si>
  <si>
    <t xml:space="preserve">Название</t>
  </si>
  <si>
    <t xml:space="preserve">Хим товары, КлассП, НаукаГ, ЭкоТех, Учебник, Оборудо, УчебКабин, ЛабСервис </t>
  </si>
  <si>
    <t xml:space="preserve">H2O, Вода Плюс, Эко Очищение, Водострой, ЧистоВсе, ЭкоВода, КристаллТек, Чистая Точка</t>
  </si>
  <si>
    <t xml:space="preserve">СпецСтиль, ОдеждаПро, Спец Штаны, Эко Работа, Костюм Плюс, СтильСпец, Удобный стиль</t>
  </si>
  <si>
    <t xml:space="preserve">ФЦБ, НИКРОМ, Свобода от Долгов, Банкротство Просто, БФЛ Икс, Верное Решение, Спиши. Ру</t>
  </si>
  <si>
    <t xml:space="preserve">Должность</t>
  </si>
  <si>
    <t xml:space="preserve">Менеджер региональных продаж</t>
  </si>
  <si>
    <t xml:space="preserve">Руководитель отдела продаж</t>
  </si>
  <si>
    <t xml:space="preserve">Описание</t>
  </si>
  <si>
    <t xml:space="preserve">Компания занимается - производство и поставкой оборудования для кабинетов физики, химии, географии и биологии.
Менеджер по продажам:
- Общение с клиентами по холодным звонкам и выход на ЛПР;
- Работа по теплым заявкам. Конверсия из заявки в продажу 23%;
- Организация встреч, презентация продукта, ведение переговоров;
- Сопровождение сделок и ведение клиента по воронке продаж;
- Выполнение плана продаж. Установила и зафиксировала рекорд компании - 210% выполнения плана.
Достижения:
- Увеличение клиентской базы и рост продаж
- Регулярное перевыполнение плана продаж на 15–20% по итогам недели.
- Привлечение более 130 новых клиентов. </t>
  </si>
  <si>
    <t xml:space="preserve">Компания занимается - производство систем комплексной очистки воды.
Основные задачи: 
- Контроль выполнения плановых показателей: конверсии, среднего чека и иных ключевых показателей продаж;
- Работа с клиентами - заключение договоров, подготовка КП, выставление счетов и оформление документов в 1С.
- Развитие продаж, текущая работа с клиентами и поставщиками, продвижение и продажи новой продукции.
- Оформление поступления продукции в 1С, работа с документацией.
Достижения:
Создание большой базы клиентов, увеличение объема продаж, эффективные продажи новой продукции, ежемесячное выполнение плана.</t>
  </si>
  <si>
    <t xml:space="preserve">Компания занимается - производство спец. одежды
Основные сделанные задачи:
-Разработал и передал на утверждение партнерскую программу по продукту. В утвердили и объем продаж вырос на 45%;
- Изменил и дописал устаревшие скрипты для менеджеров, внедрил еженедельные планерки;
- Введение и расширение базы клиентов. 
- Сопровождение сделок
- Контроль документооборота и оплаты.
- Работа в СРМС Битрикс24
Ключевые результаты:
- Ежегодно увеличивал клиентскую базу на 20-25%
- От и до сопроводил более 150 сделок. 
- Неоднократно получал поощрения от руководства.</t>
  </si>
  <si>
    <t xml:space="preserve">Компания занимается - банкротством физических лиц.
Основные задачи: 
- Ежедневный контроль выполнения плановых показателей продаж;
- Контроль конверсии, среднего чека иных ключевых показателей продаж;
- Еженедельные отчеты о проделанной работе собственнику;
- Ежедневные планерки отдела продаж;
- Еженедельные обучения с бизнес-тренером;
- Еженедельные отчеты менеджера по качеству;
- Постановка адекватных планов продаж и плана активных действий;
- Постоянный контроль ведения CRM системы;
- Актуализация скриптов, рабочих файлов;
- Квартальные аттестации
- Эффективная адаптация новых менеджеров по продажам;
- Обратная связь по составу ОП, ролям, качеству сверка параметров отчетов, отчета менеджера по качеству.
- Подготовка регламентов и должностных инструкций для сотрудников отдела продаж
Ключевые результаты:
Увеличили конверсию продажи встречи, до ходимость выросла в 2 раза.
Увеличили конверсию в продажу договора онлайн, и оффлайн.
Увеличили кол-во договоров, с 25 до 40.</t>
  </si>
  <si>
    <t xml:space="preserve">Начало месяц</t>
  </si>
  <si>
    <t xml:space="preserve">Февраль</t>
  </si>
  <si>
    <t xml:space="preserve">Июнь</t>
  </si>
  <si>
    <t xml:space="preserve">Сентябрь</t>
  </si>
  <si>
    <t xml:space="preserve">Начало год</t>
  </si>
  <si>
    <t xml:space="preserve">Окончание месяц</t>
  </si>
  <si>
    <t xml:space="preserve">Май</t>
  </si>
  <si>
    <t xml:space="preserve">НВ</t>
  </si>
  <si>
    <t xml:space="preserve">Окончание год</t>
  </si>
  <si>
    <t xml:space="preserve">ПОЖАЛУЙСТА, ОЗНАКОМЬТЕСЬ С МОИМ СОПРОВОДИТЕЛЬНЫМ ПИСЬМОМ. Я буду рад поработать с вами.
- Я знаю как трудно сейчас найти зубастого ПРОДАЖНИКА, который не выгорает и не увольняется через неделю, а стремится к росту и выполнению плана продаж. 
- Я нашёл решению этому: я создал целый отдел продажников которые готовы работать С ВАМИ и расти! Мы продаём, потому что умеем это делать, и получаем от этого удовольствием, используя проверенные инструменты продаж, что позволяет зарабатывать больше, чем штатные сотрудники!
- Не изобретайте велосипед, давайте уже продавать? Я готов закрыть вашу вакансию уже сегодня! Жду ваших звонков)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</si>
</sst>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Arial"/>
      <family val="2"/>
      <charset val="204"/>
    </font>
    <font>
      <sz val="11"/>
      <color rgb="FFFF0000"/>
      <name val="Calibri"/>
      <family val="2"/>
      <charset val="204"/>
    </font>
    <font>
      <sz val="9"/>
      <color rgb="FFFF0000"/>
      <name val="Arial"/>
      <family val="2"/>
      <charset val="204"/>
    </font>
    <font>
      <sz val="12"/>
      <color rgb="FF000000"/>
      <name val="Calibri"/>
      <family val="2"/>
      <charset val="204"/>
    </font>
    <font>
      <sz val="11"/>
      <color rgb="FF1E1E1E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5E0B4"/>
      </patternFill>
    </fill>
    <fill>
      <patternFill patternType="solid">
        <fgColor rgb="FFFFFFFF"/>
        <bgColor rgb="FFFFFFCC"/>
      </patternFill>
    </fill>
    <fill>
      <patternFill patternType="solid">
        <fgColor rgb="FFC5E0B4"/>
        <bgColor rgb="FFD9D9D9"/>
      </patternFill>
    </fill>
    <fill>
      <patternFill patternType="solid">
        <fgColor rgb="FFBFBFBF"/>
        <bgColor rgb="FFC5E0B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34" colorId="64" zoomScale="85" zoomScaleNormal="85" zoomScalePageLayoutView="100" workbookViewId="0">
      <selection pane="topLeft" activeCell="C24" activeCellId="0" sqref="C24"/>
    </sheetView>
  </sheetViews>
  <sheetFormatPr defaultColWidth="20.71484375" defaultRowHeight="15" zeroHeight="false" outlineLevelRow="0" outlineLevelCol="0"/>
  <cols>
    <col collapsed="false" customWidth="false" hidden="false" outlineLevel="0" max="5" min="1" style="1" width="20.71"/>
    <col collapsed="false" customWidth="true" hidden="false" outlineLevel="0" max="6" min="6" style="1" width="40.71"/>
    <col collapsed="false" customWidth="false" hidden="false" outlineLevel="0" max="16384" min="7" style="1" width="20.71"/>
  </cols>
  <sheetData>
    <row r="1" s="6" customFormat="true" ht="26.45" hidden="false" customHeight="false" outlineLevel="0" collapsed="false">
      <c r="A1" s="2" t="s">
        <v>0</v>
      </c>
      <c r="B1" s="3" t="s">
        <v>1</v>
      </c>
      <c r="C1" s="4"/>
      <c r="D1" s="4"/>
      <c r="E1" s="5"/>
      <c r="F1" s="4"/>
      <c r="G1" s="4"/>
      <c r="H1" s="4"/>
      <c r="I1" s="4"/>
    </row>
    <row r="2" s="6" customFormat="true" ht="15" hidden="false" customHeight="true" outlineLevel="0" collapsed="false">
      <c r="A2" s="7"/>
      <c r="E2" s="8"/>
    </row>
    <row r="3" s="6" customFormat="true" ht="15" hidden="false" customHeight="true" outlineLevel="0" collapsed="false">
      <c r="A3" s="9" t="s">
        <v>2</v>
      </c>
      <c r="B3" s="10" t="s">
        <v>3</v>
      </c>
    </row>
    <row r="4" s="6" customFormat="true" ht="15" hidden="false" customHeight="true" outlineLevel="0" collapsed="false">
      <c r="A4" s="11" t="s">
        <v>4</v>
      </c>
      <c r="B4" s="10" t="s">
        <v>5</v>
      </c>
    </row>
    <row r="5" s="6" customFormat="true" ht="15" hidden="false" customHeight="true" outlineLevel="0" collapsed="false">
      <c r="A5" s="9" t="s">
        <v>6</v>
      </c>
      <c r="B5" s="10" t="s">
        <v>7</v>
      </c>
    </row>
    <row r="6" s="6" customFormat="true" ht="18" hidden="false" customHeight="true" outlineLevel="0" collapsed="false">
      <c r="A6" s="12" t="s">
        <v>8</v>
      </c>
      <c r="B6" s="10" t="n">
        <v>2015</v>
      </c>
    </row>
    <row r="7" s="6" customFormat="true" ht="15" hidden="false" customHeight="true" outlineLevel="0" collapsed="false">
      <c r="A7" s="7"/>
      <c r="B7" s="7"/>
    </row>
    <row r="8" s="6" customFormat="true" ht="15" hidden="false" customHeight="true" outlineLevel="0" collapsed="false">
      <c r="G8" s="13"/>
    </row>
    <row r="9" s="6" customFormat="true" ht="15" hidden="false" customHeight="true" outlineLevel="0" collapsed="false"/>
    <row r="10" s="6" customFormat="true" ht="15" hidden="false" customHeight="true" outlineLevel="0" collapsed="false"/>
    <row r="11" s="6" customFormat="true" ht="15" hidden="false" customHeight="true" outlineLevel="0" collapsed="false">
      <c r="A11" s="2" t="s">
        <v>9</v>
      </c>
      <c r="B11" s="2" t="s">
        <v>10</v>
      </c>
    </row>
    <row r="12" s="6" customFormat="true" ht="15" hidden="false" customHeight="true" outlineLevel="0" collapsed="false">
      <c r="A12" s="14" t="n">
        <f aca="false">15 - COUNTIF(A13:A26,"")</f>
        <v>13</v>
      </c>
      <c r="B12" s="14" t="s">
        <v>11</v>
      </c>
    </row>
    <row r="13" s="6" customFormat="true" ht="15" hidden="false" customHeight="true" outlineLevel="0" collapsed="false">
      <c r="A13" s="15" t="s">
        <v>12</v>
      </c>
      <c r="B13" s="16" t="n">
        <v>3</v>
      </c>
    </row>
    <row r="14" s="6" customFormat="true" ht="15" hidden="false" customHeight="true" outlineLevel="0" collapsed="false">
      <c r="A14" s="15" t="s">
        <v>13</v>
      </c>
      <c r="B14" s="17" t="n">
        <v>3</v>
      </c>
    </row>
    <row r="15" customFormat="false" ht="15" hidden="false" customHeight="true" outlineLevel="0" collapsed="false">
      <c r="A15" s="15" t="s">
        <v>14</v>
      </c>
      <c r="B15" s="17" t="n">
        <v>3</v>
      </c>
      <c r="C15" s="6"/>
      <c r="D15" s="6"/>
      <c r="E15" s="6"/>
      <c r="F15" s="6"/>
      <c r="G15" s="6"/>
      <c r="H15" s="6"/>
      <c r="I15" s="6"/>
    </row>
    <row r="16" customFormat="false" ht="15" hidden="false" customHeight="true" outlineLevel="0" collapsed="false">
      <c r="A16" s="18" t="s">
        <v>15</v>
      </c>
      <c r="B16" s="16" t="n">
        <v>2</v>
      </c>
      <c r="C16" s="6"/>
      <c r="D16" s="6"/>
      <c r="E16" s="6"/>
      <c r="F16" s="6"/>
      <c r="G16" s="6"/>
      <c r="H16" s="6"/>
      <c r="I16" s="6"/>
    </row>
    <row r="17" customFormat="false" ht="15" hidden="false" customHeight="true" outlineLevel="0" collapsed="false">
      <c r="A17" s="18" t="s">
        <v>16</v>
      </c>
      <c r="B17" s="16" t="n">
        <v>3</v>
      </c>
      <c r="C17" s="6"/>
      <c r="D17" s="6"/>
      <c r="E17" s="6"/>
      <c r="F17" s="6"/>
      <c r="G17" s="6"/>
      <c r="H17" s="6"/>
      <c r="I17" s="6"/>
    </row>
    <row r="18" customFormat="false" ht="13.8" hidden="false" customHeight="false" outlineLevel="0" collapsed="false">
      <c r="A18" s="18" t="s">
        <v>17</v>
      </c>
      <c r="B18" s="16" t="n">
        <v>2</v>
      </c>
    </row>
    <row r="19" customFormat="false" ht="13.8" hidden="false" customHeight="false" outlineLevel="0" collapsed="false">
      <c r="A19" s="18" t="s">
        <v>18</v>
      </c>
      <c r="B19" s="16" t="n">
        <v>2</v>
      </c>
    </row>
    <row r="20" customFormat="false" ht="24.1" hidden="false" customHeight="false" outlineLevel="0" collapsed="false">
      <c r="A20" s="15" t="s">
        <v>19</v>
      </c>
      <c r="B20" s="17" t="n">
        <v>3</v>
      </c>
      <c r="F20" s="19"/>
      <c r="G20" s="19"/>
      <c r="H20" s="19"/>
      <c r="I20" s="19"/>
    </row>
    <row r="21" customFormat="false" ht="15" hidden="false" customHeight="true" outlineLevel="0" collapsed="false">
      <c r="A21" s="15" t="s">
        <v>20</v>
      </c>
      <c r="B21" s="17" t="n">
        <v>3</v>
      </c>
      <c r="G21" s="19"/>
      <c r="H21" s="19"/>
      <c r="I21" s="19"/>
    </row>
    <row r="22" customFormat="false" ht="13.8" hidden="false" customHeight="false" outlineLevel="0" collapsed="false">
      <c r="A22" s="15" t="s">
        <v>21</v>
      </c>
      <c r="B22" s="17" t="n">
        <v>2</v>
      </c>
      <c r="F22" s="19"/>
      <c r="G22" s="19"/>
      <c r="H22" s="19"/>
      <c r="I22" s="19"/>
    </row>
    <row r="23" customFormat="false" ht="15.75" hidden="false" customHeight="true" outlineLevel="0" collapsed="false">
      <c r="A23" s="15" t="s">
        <v>22</v>
      </c>
      <c r="B23" s="17" t="n">
        <v>3</v>
      </c>
      <c r="F23" s="19"/>
      <c r="G23" s="19"/>
      <c r="H23" s="19"/>
      <c r="I23" s="19"/>
    </row>
    <row r="24" customFormat="false" ht="13.8" hidden="false" customHeight="false" outlineLevel="0" collapsed="false">
      <c r="A24" s="15" t="s">
        <v>23</v>
      </c>
      <c r="B24" s="17" t="n">
        <v>3</v>
      </c>
    </row>
    <row r="25" customFormat="false" ht="13.8" hidden="false" customHeight="false" outlineLevel="0" collapsed="false">
      <c r="A25" s="15"/>
      <c r="B25" s="17"/>
      <c r="F25" s="19"/>
      <c r="G25" s="19"/>
      <c r="H25" s="19"/>
      <c r="I25" s="19"/>
    </row>
    <row r="26" customFormat="false" ht="13.8" hidden="false" customHeight="false" outlineLevel="0" collapsed="false">
      <c r="A26" s="15"/>
      <c r="B26" s="17"/>
    </row>
    <row r="27" customFormat="false" ht="13.8" hidden="false" customHeight="false" outlineLevel="0" collapsed="false">
      <c r="A27" s="15"/>
      <c r="B27" s="17"/>
      <c r="F27" s="19"/>
      <c r="G27" s="19"/>
      <c r="H27" s="19"/>
      <c r="I27" s="19"/>
    </row>
    <row r="28" customFormat="false" ht="13.8" hidden="false" customHeight="false" outlineLevel="0" collapsed="false">
      <c r="A28" s="7"/>
      <c r="B28" s="7"/>
    </row>
    <row r="30" customFormat="false" ht="15" hidden="false" customHeight="false" outlineLevel="0" collapsed="false">
      <c r="A30" s="20" t="n">
        <f aca="false">4 - COUNTIF(B31:E31,"")</f>
        <v>4</v>
      </c>
      <c r="B30" s="21" t="s">
        <v>24</v>
      </c>
      <c r="C30" s="21" t="s">
        <v>25</v>
      </c>
      <c r="D30" s="21" t="s">
        <v>26</v>
      </c>
      <c r="E30" s="21" t="s">
        <v>27</v>
      </c>
    </row>
    <row r="31" customFormat="false" ht="99.75" hidden="false" customHeight="false" outlineLevel="0" collapsed="false">
      <c r="A31" s="21" t="s">
        <v>28</v>
      </c>
      <c r="B31" s="3" t="s">
        <v>29</v>
      </c>
      <c r="C31" s="3" t="s">
        <v>30</v>
      </c>
      <c r="D31" s="3" t="s">
        <v>31</v>
      </c>
      <c r="E31" s="22" t="s">
        <v>32</v>
      </c>
    </row>
    <row r="32" customFormat="false" ht="42.75" hidden="false" customHeight="false" outlineLevel="0" collapsed="false">
      <c r="A32" s="21" t="s">
        <v>33</v>
      </c>
      <c r="B32" s="3" t="s">
        <v>1</v>
      </c>
      <c r="C32" s="3" t="s">
        <v>34</v>
      </c>
      <c r="D32" s="3" t="s">
        <v>1</v>
      </c>
      <c r="E32" s="22" t="s">
        <v>35</v>
      </c>
    </row>
    <row r="33" customFormat="false" ht="409.5" hidden="false" customHeight="false" outlineLevel="0" collapsed="false">
      <c r="A33" s="21" t="s">
        <v>36</v>
      </c>
      <c r="B33" s="3" t="s">
        <v>37</v>
      </c>
      <c r="C33" s="3" t="s">
        <v>38</v>
      </c>
      <c r="D33" s="3" t="s">
        <v>39</v>
      </c>
      <c r="E33" s="22" t="s">
        <v>40</v>
      </c>
    </row>
    <row r="34" customFormat="false" ht="15" hidden="false" customHeight="false" outlineLevel="0" collapsed="false">
      <c r="A34" s="21" t="s">
        <v>41</v>
      </c>
      <c r="B34" s="23" t="s">
        <v>42</v>
      </c>
      <c r="C34" s="23" t="s">
        <v>43</v>
      </c>
      <c r="D34" s="23" t="s">
        <v>44</v>
      </c>
      <c r="E34" s="24" t="s">
        <v>42</v>
      </c>
    </row>
    <row r="35" customFormat="false" ht="15" hidden="false" customHeight="false" outlineLevel="0" collapsed="false">
      <c r="A35" s="21" t="s">
        <v>45</v>
      </c>
      <c r="B35" s="23" t="n">
        <v>2015</v>
      </c>
      <c r="C35" s="23" t="n">
        <v>2018</v>
      </c>
      <c r="D35" s="23" t="n">
        <v>2020</v>
      </c>
      <c r="E35" s="24" t="n">
        <v>2023</v>
      </c>
    </row>
    <row r="36" customFormat="false" ht="15" hidden="false" customHeight="false" outlineLevel="0" collapsed="false">
      <c r="A36" s="21" t="s">
        <v>46</v>
      </c>
      <c r="B36" s="23" t="s">
        <v>47</v>
      </c>
      <c r="C36" s="23" t="s">
        <v>44</v>
      </c>
      <c r="D36" s="23" t="s">
        <v>42</v>
      </c>
      <c r="E36" s="24" t="s">
        <v>48</v>
      </c>
    </row>
    <row r="37" customFormat="false" ht="15" hidden="false" customHeight="false" outlineLevel="0" collapsed="false">
      <c r="A37" s="21" t="s">
        <v>49</v>
      </c>
      <c r="B37" s="23" t="n">
        <v>2018</v>
      </c>
      <c r="C37" s="23" t="n">
        <v>2020</v>
      </c>
      <c r="D37" s="23" t="n">
        <v>2023</v>
      </c>
      <c r="E37" s="24"/>
    </row>
    <row r="38" customFormat="false" ht="15" hidden="false" customHeight="false" outlineLevel="0" collapsed="false">
      <c r="B38" s="25" t="n">
        <f aca="false">MATCH(B34,{"Январь";"Февраль";"Март";"Апрель";"Май";"Июнь";"Июль";"Август";"Сентябрь";"Октябрь";"Ноябрь";"Декабрь"},)</f>
        <v>2</v>
      </c>
      <c r="C38" s="25" t="n">
        <f aca="false">MATCH(C34,{"Январь";"Февраль";"Март";"Апрель";"Май";"Июнь";"Июль";"Август";"Сентябрь";"Октябрь";"Ноябрь";"Декабрь"},)</f>
        <v>6</v>
      </c>
      <c r="D38" s="25" t="n">
        <f aca="false">MATCH(D34,{"Январь";"Февраль";"Март";"Апрель";"Май";"Июнь";"Июль";"Август";"Сентябрь";"Октябрь";"Ноябрь";"Декабрь"},)</f>
        <v>9</v>
      </c>
      <c r="E38" s="25" t="n">
        <f aca="false">MATCH(E34,{"Январь";"Февраль";"Март";"Апрель";"Май";"Июнь";"Июль";"Август";"Сентябрь";"Октябрь";"Ноябрь";"Декабрь"},)</f>
        <v>2</v>
      </c>
    </row>
    <row r="39" customFormat="false" ht="15" hidden="false" customHeight="false" outlineLevel="0" collapsed="false">
      <c r="B39" s="20" t="n">
        <f aca="false">MATCH(B36,{"Январь";"Февраль";"Март";"Апрель";"Май";"Июнь";"Июль";"Август";"Сентябрь";"Октябрь";"Ноябрь";"Декабрь";"НВ"},)</f>
        <v>5</v>
      </c>
      <c r="C39" s="20" t="n">
        <f aca="false">MATCH(C36,{"Январь";"Февраль";"Март";"Апрель";"Май";"Июнь";"Июль";"Август";"Сентябрь";"Октябрь";"Ноябрь";"Декабрь";"НВ"},)</f>
        <v>9</v>
      </c>
      <c r="D39" s="20" t="n">
        <f aca="false">MATCH(D36,{"Январь";"Февраль";"Март";"Апрель";"Май";"Июнь";"Июль";"Август";"Сентябрь";"Октябрь";"Ноябрь";"Декабрь";"НВ"},)</f>
        <v>2</v>
      </c>
      <c r="E39" s="20" t="n">
        <f aca="false">MATCH(E36,{"Январь";"Февраль";"Март";"Апрель";"Май";"Июнь";"Июль";"Август";"Сентябрь";"Октябрь";"Ноябрь";"Декабрь";"НВ"},)</f>
        <v>13</v>
      </c>
    </row>
    <row r="42" customFormat="false" ht="15" hidden="false" customHeight="false" outlineLevel="0" collapsed="false">
      <c r="A42" s="2" t="s">
        <v>36</v>
      </c>
    </row>
    <row r="43" customFormat="false" ht="409.5" hidden="false" customHeight="false" outlineLevel="0" collapsed="false">
      <c r="A43" s="18" t="s">
        <v>50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2024-12-10T12:37:19Z</dcterms:created>
  <dc:creator>Матвей Саранчин</dc:creator>
  <dc:description/>
  <dc:language>ru-RU</dc:language>
  <cp:lastModifiedBy/>
  <dcterms:modified xsi:type="dcterms:W3CDTF">2025-03-28T11:47:35Z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