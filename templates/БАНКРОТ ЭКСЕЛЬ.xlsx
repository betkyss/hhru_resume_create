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<sst xmlns="http://schemas.openxmlformats.org/spreadsheetml/2006/main" count="50" uniqueCount="46">
  <si>
    <t xml:space="preserve">Проффессия</t>
  </si>
  <si>
    <t xml:space="preserve">Маркетолог</t>
  </si>
  <si>
    <t xml:space="preserve">Образование</t>
  </si>
  <si>
    <t xml:space="preserve">Магистр</t>
  </si>
  <si>
    <t xml:space="preserve">Учебное заведение</t>
  </si>
  <si>
    <t xml:space="preserve">Московский финансово-промышленный университет "Синергия", Москва</t>
  </si>
  <si>
    <t xml:space="preserve">Факультет и специализация</t>
  </si>
  <si>
    <t xml:space="preserve">Маркетинг</t>
  </si>
  <si>
    <t xml:space="preserve">Год окончания</t>
  </si>
  <si>
    <t xml:space="preserve">Навыки</t>
  </si>
  <si>
    <t xml:space="preserve">Уровень навыка</t>
  </si>
  <si>
    <t xml:space="preserve">-</t>
  </si>
  <si>
    <t xml:space="preserve">Продвижение бренда  </t>
  </si>
  <si>
    <t xml:space="preserve">Запуск региональных рекламных кампаний  </t>
  </si>
  <si>
    <t xml:space="preserve">Яндекс.Метрика  </t>
  </si>
  <si>
    <t xml:space="preserve">Яндекс.Директ  </t>
  </si>
  <si>
    <t xml:space="preserve">Интернет-реклама  </t>
  </si>
  <si>
    <t xml:space="preserve">Управление бюджетом  </t>
  </si>
  <si>
    <t xml:space="preserve">Таргетинг </t>
  </si>
  <si>
    <t xml:space="preserve">Маркетинговое планирование  </t>
  </si>
  <si>
    <t xml:space="preserve">Маркетинговая стратегия  </t>
  </si>
  <si>
    <t xml:space="preserve">СЕО Продвижение</t>
  </si>
  <si>
    <t xml:space="preserve">Лиды на банкротство</t>
  </si>
  <si>
    <t xml:space="preserve">Компания 1</t>
  </si>
  <si>
    <t xml:space="preserve">Компания 2</t>
  </si>
  <si>
    <t xml:space="preserve">Компания 3</t>
  </si>
  <si>
    <t xml:space="preserve">Название</t>
  </si>
  <si>
    <t xml:space="preserve">А.Банкротство, ФЦБ Банкротство, Стоп Банкрот, Фин Прав Банкротство, Заря Банкротство</t>
  </si>
  <si>
    <t xml:space="preserve">Служба помощи должникам, Финансовый Контроль банкротство, Дели Долги, Агаеева ID Банкротство, ОК БАНКРОТ</t>
  </si>
  <si>
    <t xml:space="preserve">Защитная грамота банкротство, Help Me Банкротство, Центр Защиты, Банкирро Банкротство, ПРАВОСУДИЕ Банкротство</t>
  </si>
  <si>
    <t xml:space="preserve">Должность</t>
  </si>
  <si>
    <t xml:space="preserve">Генеральный подрядчик</t>
  </si>
  <si>
    <t xml:space="preserve">Маркетолог-аналитик</t>
  </si>
  <si>
    <t xml:space="preserve">Описание</t>
  </si>
  <si>
    <t xml:space="preserve">Компания занимается Банкротством физических лиц. 
Цели и задачи:
- Увеличение онлайн-продаж и привлечение клиентов.
- Повышение узнаваемости бренда.
- Улучшения системы лояльности.
Методики и инструменты:
- Конкуретный маркетинг. (Кросс маркетинг)
- SEO, контекстная реклама, таргетинг в соцсетях.
- Контент: Блоги, видео, обзоры.
- Аналитика: Инструменты и CRM для отслеживания и управления.
Результаты:
- Добились 543 заявок в месяц.
- Привлекали по 19 лидов в день.
- Добились стоимости от 570 рублей за лид</t>
  </si>
  <si>
    <t xml:space="preserve">Компания занимается Банкротством физических лиц. 
ЦЕЛИ И ЗАДАЧИ:
- Увеличение доли рынка.
- Расширение клиентской базы и укрепление позиций.
- Повышение узнаваемости бренда.
- Создание ассоциации с надежностью.
Инструменты и методики:
- Цифровой маркетинг.
- Таргетированные кампании и SEO-оптимизация.
- Образовательные статьи и вебинары.
Достигнутые результаты:
- Добились 678 заявок в месяц.
- Привлекли по 21 лидов в день.
- Добились стоимости от 520 рублей за лид</t>
  </si>
  <si>
    <t xml:space="preserve">Компания занимается Банкротством физических лиц. 
ЦЕЛИ И ЗАДАЧИ:
- Увеличение доли рынка.
- Расширение клиентской базы и укрепление позиций среди конкурентов
- Повышение узнаваемости бренда.
- Создание ассоциации с надежностью и качеством.
Инструменты и методики:
- Цифровой маркетинг.
- Таргетированные кампании и SEO-оптимизация.
- Образовательные статьи и вебинары.
- Яндекс Директ.
Достигнутые результаты:
- Добились 1278 заявок в месяц.
- Привлекли по 42 лидов в день.
- Добились стоимости от 470 рублей за лид</t>
  </si>
  <si>
    <t xml:space="preserve">Начало месяц</t>
  </si>
  <si>
    <t xml:space="preserve">Январь</t>
  </si>
  <si>
    <t xml:space="preserve">Март</t>
  </si>
  <si>
    <t xml:space="preserve">Сентябрь</t>
  </si>
  <si>
    <t xml:space="preserve">Начало год</t>
  </si>
  <si>
    <t xml:space="preserve">Окончание месяц</t>
  </si>
  <si>
    <t xml:space="preserve">НВ</t>
  </si>
  <si>
    <t xml:space="preserve">Окончание год</t>
  </si>
  <si>
    <t xml:space="preserve">ПОЖАЛУЙСТА, ОЗНАКОМЬТЕСЬ С МОИМ СОПРОВОДИТЕЛЬНЫМ ПИСЬМОМ.
- Как маркетолог, специализирующийся на банкротстве, я  помогу вашему бизнесу эффективно взаимодействовать с потенциальными клиентами. 
- Моя задача — обеспечить вас лидами, которые имеют высокий потенциал конверсии, чтобы вы могли сосредоточиться на достижении лучших результатов! Жду вашего звонка)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</si>
</sst>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Arial"/>
      <family val="2"/>
      <charset val="204"/>
    </font>
    <font>
      <sz val="11"/>
      <color rgb="FFFF0000"/>
      <name val="Calibri"/>
      <family val="2"/>
      <charset val="204"/>
    </font>
    <font>
      <sz val="9"/>
      <color rgb="FFFF0000"/>
      <name val="Arial"/>
      <family val="2"/>
      <charset val="204"/>
    </font>
    <font>
      <sz val="12"/>
      <color rgb="FF000000"/>
      <name val="Calibri"/>
      <family val="2"/>
      <charset val="204"/>
    </font>
    <font>
      <sz val="11"/>
      <color rgb="FF1E1E1E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CCCCC"/>
      </patternFill>
    </fill>
    <fill>
      <patternFill patternType="solid">
        <fgColor rgb="FFCCCCCC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C5E0B4"/>
        <bgColor rgb="FFD9D9D9"/>
      </patternFill>
    </fill>
    <fill>
      <patternFill patternType="solid">
        <fgColor rgb="FFBFBFBF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BFBFB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true" showOutlineSymbols="true" defaultGridColor="true" view="normal" topLeftCell="A34" colorId="64" zoomScale="85" zoomScaleNormal="85" zoomScalePageLayoutView="100" workbookViewId="0">
      <selection pane="topLeft" activeCell="C43" activeCellId="0" sqref="C43"/>
    </sheetView>
  </sheetViews>
  <sheetFormatPr defaultColWidth="20.71484375" defaultRowHeight="15" zeroHeight="false" outlineLevelRow="0" outlineLevelCol="0"/>
  <cols>
    <col collapsed="false" customWidth="false" hidden="false" outlineLevel="0" max="5" min="1" style="1" width="20.71"/>
    <col collapsed="false" customWidth="true" hidden="false" outlineLevel="0" max="6" min="6" style="1" width="40.71"/>
    <col collapsed="false" customWidth="false" hidden="false" outlineLevel="0" max="16384" min="7" style="1" width="20.71"/>
  </cols>
  <sheetData>
    <row r="1" s="4" customFormat="true" ht="15" hidden="false" customHeight="false" outlineLevel="0" collapsed="false">
      <c r="A1" s="2" t="s">
        <v>0</v>
      </c>
      <c r="B1" s="3" t="s">
        <v>1</v>
      </c>
      <c r="E1" s="5"/>
    </row>
    <row r="2" s="6" customFormat="true" ht="15" hidden="false" customHeight="true" outlineLevel="0" collapsed="false">
      <c r="E2" s="7"/>
    </row>
    <row r="3" s="6" customFormat="true" ht="15" hidden="false" customHeight="true" outlineLevel="0" collapsed="false">
      <c r="A3" s="8" t="s">
        <v>2</v>
      </c>
      <c r="B3" s="3" t="s">
        <v>3</v>
      </c>
    </row>
    <row r="4" s="6" customFormat="true" ht="15" hidden="false" customHeight="true" outlineLevel="0" collapsed="false">
      <c r="A4" s="9" t="s">
        <v>4</v>
      </c>
      <c r="B4" s="3" t="s">
        <v>5</v>
      </c>
    </row>
    <row r="5" s="6" customFormat="true" ht="15" hidden="false" customHeight="true" outlineLevel="0" collapsed="false">
      <c r="A5" s="10" t="s">
        <v>6</v>
      </c>
      <c r="B5" s="3" t="s">
        <v>7</v>
      </c>
    </row>
    <row r="6" s="6" customFormat="true" ht="15" hidden="false" customHeight="true" outlineLevel="0" collapsed="false">
      <c r="A6" s="11" t="s">
        <v>8</v>
      </c>
      <c r="B6" s="12" t="n">
        <v>2014</v>
      </c>
      <c r="H6" s="13"/>
    </row>
    <row r="7" s="6" customFormat="true" ht="15" hidden="false" customHeight="true" outlineLevel="0" collapsed="false"/>
    <row r="8" s="6" customFormat="true" ht="15" hidden="false" customHeight="true" outlineLevel="0" collapsed="false"/>
    <row r="9" s="6" customFormat="true" ht="15" hidden="false" customHeight="true" outlineLevel="0" collapsed="false"/>
    <row r="10" s="6" customFormat="true" ht="15" hidden="false" customHeight="true" outlineLevel="0" collapsed="false"/>
    <row r="11" s="6" customFormat="true" ht="15" hidden="false" customHeight="true" outlineLevel="0" collapsed="false">
      <c r="A11" s="2" t="s">
        <v>9</v>
      </c>
      <c r="B11" s="2" t="s">
        <v>10</v>
      </c>
    </row>
    <row r="12" s="6" customFormat="true" ht="15" hidden="false" customHeight="true" outlineLevel="0" collapsed="false">
      <c r="A12" s="14" t="n">
        <f aca="false">15 - COUNTIF(C3:C17,"")</f>
        <v>0</v>
      </c>
      <c r="B12" s="14" t="s">
        <v>11</v>
      </c>
    </row>
    <row r="13" s="6" customFormat="true" ht="15" hidden="false" customHeight="true" outlineLevel="0" collapsed="false">
      <c r="A13" s="15" t="s">
        <v>12</v>
      </c>
      <c r="B13" s="16" t="n">
        <v>3</v>
      </c>
    </row>
    <row r="14" s="6" customFormat="true" ht="15" hidden="false" customHeight="true" outlineLevel="0" collapsed="false">
      <c r="A14" s="15" t="s">
        <v>13</v>
      </c>
      <c r="B14" s="16" t="n">
        <v>3</v>
      </c>
    </row>
    <row r="15" s="6" customFormat="true" ht="15" hidden="false" customHeight="true" outlineLevel="0" collapsed="false">
      <c r="A15" s="15" t="s">
        <v>14</v>
      </c>
      <c r="B15" s="16" t="n">
        <v>3</v>
      </c>
      <c r="C15" s="17"/>
      <c r="D15" s="18"/>
    </row>
    <row r="16" s="6" customFormat="true" ht="15" hidden="false" customHeight="true" outlineLevel="0" collapsed="false">
      <c r="A16" s="15" t="s">
        <v>15</v>
      </c>
      <c r="B16" s="16" t="n">
        <v>3</v>
      </c>
      <c r="C16" s="17"/>
      <c r="D16" s="18"/>
    </row>
    <row r="17" s="6" customFormat="true" ht="15" hidden="false" customHeight="true" outlineLevel="0" collapsed="false">
      <c r="A17" s="19" t="s">
        <v>16</v>
      </c>
      <c r="B17" s="20" t="n">
        <v>3</v>
      </c>
      <c r="C17" s="17"/>
      <c r="D17" s="18"/>
    </row>
    <row r="18" customFormat="false" ht="30" hidden="false" customHeight="false" outlineLevel="0" collapsed="false">
      <c r="A18" s="15" t="s">
        <v>17</v>
      </c>
      <c r="B18" s="16" t="n">
        <v>3</v>
      </c>
      <c r="C18" s="21"/>
      <c r="D18" s="21"/>
    </row>
    <row r="19" customFormat="false" ht="15" hidden="false" customHeight="false" outlineLevel="0" collapsed="false">
      <c r="A19" s="15" t="s">
        <v>18</v>
      </c>
      <c r="B19" s="16" t="n">
        <v>2</v>
      </c>
    </row>
    <row r="20" customFormat="false" ht="30" hidden="false" customHeight="false" outlineLevel="0" collapsed="false">
      <c r="A20" s="19" t="s">
        <v>19</v>
      </c>
      <c r="B20" s="20" t="n">
        <v>3</v>
      </c>
      <c r="F20" s="22"/>
      <c r="G20" s="22"/>
      <c r="H20" s="22"/>
      <c r="I20" s="22"/>
    </row>
    <row r="21" customFormat="false" ht="15" hidden="false" customHeight="true" outlineLevel="0" collapsed="false">
      <c r="A21" s="19" t="s">
        <v>20</v>
      </c>
      <c r="B21" s="20" t="n">
        <v>2</v>
      </c>
      <c r="G21" s="22"/>
      <c r="H21" s="22"/>
      <c r="I21" s="22"/>
    </row>
    <row r="22" customFormat="false" ht="15" hidden="false" customHeight="false" outlineLevel="0" collapsed="false">
      <c r="A22" s="19" t="s">
        <v>21</v>
      </c>
      <c r="B22" s="20" t="n">
        <v>3</v>
      </c>
      <c r="F22" s="22"/>
      <c r="G22" s="22"/>
      <c r="H22" s="22"/>
      <c r="I22" s="22"/>
    </row>
    <row r="23" customFormat="false" ht="34.5" hidden="false" customHeight="true" outlineLevel="0" collapsed="false">
      <c r="A23" s="19" t="s">
        <v>22</v>
      </c>
      <c r="B23" s="20" t="n">
        <v>3</v>
      </c>
      <c r="F23" s="22"/>
      <c r="G23" s="22"/>
      <c r="H23" s="22"/>
      <c r="I23" s="22"/>
    </row>
    <row r="24" customFormat="false" ht="13.8" hidden="false" customHeight="false" outlineLevel="0" collapsed="false">
      <c r="A24" s="19"/>
      <c r="B24" s="20"/>
    </row>
    <row r="25" customFormat="false" ht="13.8" hidden="false" customHeight="false" outlineLevel="0" collapsed="false">
      <c r="A25" s="19"/>
      <c r="B25" s="20"/>
      <c r="F25" s="22"/>
      <c r="G25" s="22"/>
      <c r="H25" s="22"/>
      <c r="I25" s="22"/>
    </row>
    <row r="26" customFormat="false" ht="13.8" hidden="false" customHeight="false" outlineLevel="0" collapsed="false">
      <c r="A26" s="19"/>
      <c r="B26" s="20"/>
      <c r="C26" s="0"/>
      <c r="D26" s="0"/>
      <c r="E26" s="0"/>
    </row>
    <row r="27" customFormat="false" ht="13.8" hidden="false" customHeight="false" outlineLevel="0" collapsed="false">
      <c r="A27" s="19"/>
      <c r="B27" s="20"/>
      <c r="C27" s="0"/>
      <c r="D27" s="0"/>
      <c r="E27" s="0"/>
      <c r="F27" s="22"/>
      <c r="G27" s="22"/>
      <c r="H27" s="22"/>
      <c r="I27" s="22"/>
    </row>
    <row r="28" customFormat="false" ht="13.8" hidden="false" customHeight="false" outlineLevel="0" collapsed="false">
      <c r="A28" s="0"/>
      <c r="B28" s="0"/>
      <c r="C28" s="0"/>
      <c r="D28" s="0"/>
      <c r="E28" s="0"/>
    </row>
    <row r="29" customFormat="false" ht="13.8" hidden="false" customHeight="false" outlineLevel="0" collapsed="false">
      <c r="A29" s="0"/>
      <c r="B29" s="0"/>
      <c r="C29" s="0"/>
      <c r="D29" s="0"/>
      <c r="E29" s="0"/>
    </row>
    <row r="30" customFormat="false" ht="13.8" hidden="false" customHeight="false" outlineLevel="0" collapsed="false">
      <c r="A30" s="23" t="n">
        <f aca="false">4 - COUNTIF(B31:E31,"")</f>
        <v>3</v>
      </c>
      <c r="B30" s="24" t="s">
        <v>23</v>
      </c>
      <c r="C30" s="24" t="s">
        <v>24</v>
      </c>
      <c r="D30" s="24" t="s">
        <v>25</v>
      </c>
      <c r="E30" s="24"/>
    </row>
    <row r="31" customFormat="false" ht="101.15" hidden="false" customHeight="false" outlineLevel="0" collapsed="false">
      <c r="A31" s="24" t="s">
        <v>26</v>
      </c>
      <c r="B31" s="3" t="s">
        <v>27</v>
      </c>
      <c r="C31" s="3" t="s">
        <v>28</v>
      </c>
      <c r="D31" s="3" t="s">
        <v>29</v>
      </c>
      <c r="E31" s="25"/>
    </row>
    <row r="32" customFormat="false" ht="26.45" hidden="false" customHeight="false" outlineLevel="0" collapsed="false">
      <c r="A32" s="24" t="s">
        <v>30</v>
      </c>
      <c r="B32" s="3" t="s">
        <v>31</v>
      </c>
      <c r="C32" s="3" t="s">
        <v>1</v>
      </c>
      <c r="D32" s="3" t="s">
        <v>32</v>
      </c>
      <c r="E32" s="25"/>
    </row>
    <row r="33" customFormat="false" ht="495.25" hidden="false" customHeight="false" outlineLevel="0" collapsed="false">
      <c r="A33" s="24" t="s">
        <v>33</v>
      </c>
      <c r="B33" s="3" t="s">
        <v>34</v>
      </c>
      <c r="C33" s="3" t="s">
        <v>35</v>
      </c>
      <c r="D33" s="3" t="s">
        <v>36</v>
      </c>
      <c r="E33" s="25"/>
    </row>
    <row r="34" customFormat="false" ht="13.8" hidden="false" customHeight="false" outlineLevel="0" collapsed="false">
      <c r="A34" s="24" t="s">
        <v>37</v>
      </c>
      <c r="B34" s="26" t="s">
        <v>38</v>
      </c>
      <c r="C34" s="26" t="s">
        <v>39</v>
      </c>
      <c r="D34" s="26" t="s">
        <v>40</v>
      </c>
      <c r="E34" s="27"/>
    </row>
    <row r="35" customFormat="false" ht="13.8" hidden="false" customHeight="false" outlineLevel="0" collapsed="false">
      <c r="A35" s="24" t="s">
        <v>41</v>
      </c>
      <c r="B35" s="26" t="n">
        <v>2017</v>
      </c>
      <c r="C35" s="26" t="n">
        <v>2019</v>
      </c>
      <c r="D35" s="26" t="n">
        <v>2021</v>
      </c>
      <c r="E35" s="27"/>
    </row>
    <row r="36" customFormat="false" ht="13.8" hidden="false" customHeight="false" outlineLevel="0" collapsed="false">
      <c r="A36" s="24" t="s">
        <v>42</v>
      </c>
      <c r="B36" s="26" t="s">
        <v>39</v>
      </c>
      <c r="C36" s="26" t="s">
        <v>40</v>
      </c>
      <c r="D36" s="26" t="s">
        <v>43</v>
      </c>
      <c r="E36" s="27"/>
    </row>
    <row r="37" customFormat="false" ht="13.8" hidden="false" customHeight="false" outlineLevel="0" collapsed="false">
      <c r="A37" s="24" t="s">
        <v>44</v>
      </c>
      <c r="B37" s="26" t="n">
        <v>2019</v>
      </c>
      <c r="C37" s="26" t="n">
        <v>2021</v>
      </c>
      <c r="D37" s="26"/>
      <c r="E37" s="27"/>
    </row>
    <row r="38" customFormat="false" ht="13.8" hidden="false" customHeight="false" outlineLevel="0" collapsed="false">
      <c r="B38" s="28" t="n">
        <f aca="false">MATCH(B34,{"Январь";"Февраль";"Март";"Апрель";"Май";"Июнь";"Июль";"Август";"Сентябрь";"Октябрь";"Ноябрь";"Декабрь"},)</f>
        <v>1</v>
      </c>
      <c r="C38" s="28" t="n">
        <f aca="false">MATCH(C34,{"Январь";"Февраль";"Март";"Апрель";"Май";"Июнь";"Июль";"Август";"Сентябрь";"Октябрь";"Ноябрь";"Декабрь"},)</f>
        <v>3</v>
      </c>
      <c r="D38" s="28" t="n">
        <f aca="false">MATCH(D34,{"Январь";"Февраль";"Март";"Апрель";"Май";"Июнь";"Июль";"Август";"Сентябрь";"Октябрь";"Ноябрь";"Декабрь"},)</f>
        <v>9</v>
      </c>
      <c r="E38" s="28" t="e">
        <f aca="false">MATCH(E34,{"Январь";"Февраль";"Март";"Апрель";"Май";"Июнь";"Июль";"Август";"Сентябрь";"Октябрь";"Ноябрь";"Декабрь"},)</f>
        <v>#N/A</v>
      </c>
    </row>
    <row r="39" customFormat="false" ht="13.8" hidden="false" customHeight="false" outlineLevel="0" collapsed="false">
      <c r="B39" s="23" t="n">
        <f aca="false">MATCH(B36,{"Январь";"Февраль";"Март";"Апрель";"Май";"Июнь";"Июль";"Август";"Сентябрь";"Октябрь";"Ноябрь";"Декабрь";"НВ"},)</f>
        <v>3</v>
      </c>
      <c r="C39" s="23" t="n">
        <f aca="false">MATCH(C36,{"Январь";"Февраль";"Март";"Апрель";"Май";"Июнь";"Июль";"Август";"Сентябрь";"Октябрь";"Ноябрь";"Декабрь";"НВ"},)</f>
        <v>9</v>
      </c>
      <c r="D39" s="23" t="n">
        <f aca="false">MATCH(D36,{"Январь";"Февраль";"Март";"Апрель";"Май";"Июнь";"Июль";"Август";"Сентябрь";"Октябрь";"Ноябрь";"Декабрь";"НВ"},)</f>
        <v>13</v>
      </c>
      <c r="E39" s="23" t="e">
        <f aca="false">MATCH(E36,{"Январь";"Февраль";"Март";"Апрель";"Май";"Июнь";"Июль";"Август";"Сентябрь";"Октябрь";"Ноябрь";"Декабрь";"НВ"},)</f>
        <v>#N/A</v>
      </c>
    </row>
    <row r="40" customFormat="false" ht="13.8" hidden="false" customHeight="false" outlineLevel="0" collapsed="false">
      <c r="B40" s="29"/>
      <c r="C40" s="29"/>
      <c r="D40" s="29"/>
      <c r="E40" s="29"/>
    </row>
    <row r="41" customFormat="false" ht="13.8" hidden="false" customHeight="false" outlineLevel="0" collapsed="false">
      <c r="B41" s="29"/>
      <c r="C41" s="29"/>
      <c r="D41" s="29"/>
      <c r="E41" s="29"/>
    </row>
    <row r="42" customFormat="false" ht="13.8" hidden="false" customHeight="false" outlineLevel="0" collapsed="false">
      <c r="A42" s="2" t="s">
        <v>33</v>
      </c>
      <c r="B42" s="29"/>
      <c r="C42" s="29"/>
      <c r="D42" s="29"/>
      <c r="E42" s="29"/>
    </row>
    <row r="43" customFormat="false" ht="288.8" hidden="false" customHeight="false" outlineLevel="0" collapsed="false">
      <c r="A43" s="15" t="s">
        <v>45</v>
      </c>
      <c r="B43" s="29"/>
      <c r="C43" s="29"/>
      <c r="D43" s="29"/>
      <c r="E43" s="29"/>
    </row>
    <row r="44" customFormat="false" ht="13.8" hidden="false" customHeight="false" outlineLevel="0" collapsed="false">
      <c r="B44" s="29"/>
      <c r="C44" s="29"/>
      <c r="D44" s="29"/>
      <c r="E44" s="29"/>
    </row>
    <row r="45" customFormat="false" ht="13.8" hidden="false" customHeight="false" outlineLevel="0" collapsed="false">
      <c r="B45" s="29"/>
      <c r="C45" s="29"/>
      <c r="D45" s="29"/>
      <c r="E45" s="29"/>
    </row>
    <row r="46" customFormat="false" ht="13.8" hidden="false" customHeight="false" outlineLevel="0" collapsed="false">
      <c r="B46" s="29"/>
      <c r="C46" s="29"/>
      <c r="D46" s="29"/>
      <c r="E46" s="29"/>
    </row>
    <row r="47" customFormat="false" ht="13.8" hidden="false" customHeight="false" outlineLevel="0" collapsed="false">
      <c r="B47" s="29"/>
      <c r="C47" s="29"/>
      <c r="D47" s="29"/>
      <c r="E47" s="29"/>
    </row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>
      <c r="A56" s="0"/>
      <c r="B56" s="0"/>
      <c r="C56" s="0"/>
      <c r="D56" s="0"/>
      <c r="E56" s="0"/>
    </row>
    <row r="57" customFormat="false" ht="13.8" hidden="false" customHeight="false" outlineLevel="0" collapsed="false">
      <c r="A57" s="0"/>
      <c r="B57" s="0"/>
      <c r="C57" s="0"/>
      <c r="D57" s="0"/>
      <c r="E57" s="0"/>
    </row>
    <row r="58" customFormat="false" ht="13.8" hidden="false" customHeight="false" outlineLevel="0" collapsed="false">
      <c r="A58" s="0"/>
      <c r="B58" s="0"/>
      <c r="C58" s="0"/>
      <c r="D58" s="0"/>
      <c r="E58" s="0"/>
    </row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2024-12-10T12:37:19Z</dcterms:created>
  <dc:creator>Матвей Саранчин</dc:creator>
  <dc:description/>
  <dc:language>ru-RU</dc:language>
  <cp:lastModifiedBy/>
  <dcterms:modified xsi:type="dcterms:W3CDTF">2025-03-28T11:45:42Z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