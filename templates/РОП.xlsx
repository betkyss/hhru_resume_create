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адион\Desktop\РЕЗЮМЕ РОП\"/>
    </mc:Choice>
  </mc:AlternateContent>
  <xr:revisionPtr revIDLastSave="0" documentId="13_ncr:1_{3F6F93F5-894D-4D52-AD4E-1BC9C29C1565}" xr6:coauthVersionLast="47" xr6:coauthVersionMax="47" xr10:uidLastSave="{00000000-0000-0000-0000-000000000000}"/>
  <bookViews>
    <workbookView xWindow="-120" yWindow="-120" windowWidth="20730" windowHeight="11160" xr2:uid="{19BB6C2D-FBE0-4B8F-9FEE-BE05A789F40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D39" i="1"/>
  <c r="C39" i="1"/>
  <c r="B39" i="1"/>
  <c r="E38" i="1"/>
  <c r="D38" i="1"/>
  <c r="C38" i="1"/>
  <c r="B38" i="1"/>
  <c r="A30" i="1"/>
  <c r="A12" i="1"/>
</calcChain>
</file>

<file path=xl/sharedStrings.xml><?xml version="1.0" encoding="utf-8"?>
<sst xmlns="http://schemas.openxmlformats.org/spreadsheetml/2006/main" count="60" uniqueCount="55">
  <si>
    <t>Проффессия</t>
  </si>
  <si>
    <t>Образование</t>
  </si>
  <si>
    <t>Магистр</t>
  </si>
  <si>
    <t>Учебное заведение</t>
  </si>
  <si>
    <t>Факультет и специализация</t>
  </si>
  <si>
    <t>Год окончания</t>
  </si>
  <si>
    <t>Навыки</t>
  </si>
  <si>
    <t>Уровень навыка</t>
  </si>
  <si>
    <t>-</t>
  </si>
  <si>
    <t>Компания 1</t>
  </si>
  <si>
    <t>Компания 2</t>
  </si>
  <si>
    <t>Компания 3</t>
  </si>
  <si>
    <t>Компания 4</t>
  </si>
  <si>
    <t>Название</t>
  </si>
  <si>
    <t>Должность</t>
  </si>
  <si>
    <t>Описание</t>
  </si>
  <si>
    <t>Начало месяц</t>
  </si>
  <si>
    <t>Февраль</t>
  </si>
  <si>
    <t>Начало год</t>
  </si>
  <si>
    <t>Окончание месяц</t>
  </si>
  <si>
    <t>НВ</t>
  </si>
  <si>
    <t>Окончание год</t>
  </si>
  <si>
    <t>Руководитель отдела продаж</t>
  </si>
  <si>
    <t>Тюменский государственный университет</t>
  </si>
  <si>
    <t>Экономика и управление на предприятии (по отраслям)</t>
  </si>
  <si>
    <t xml:space="preserve">Управление продажами  </t>
  </si>
  <si>
    <t xml:space="preserve">Управление командой  </t>
  </si>
  <si>
    <t xml:space="preserve">Обучение персонала  </t>
  </si>
  <si>
    <t xml:space="preserve">Активные продажи  </t>
  </si>
  <si>
    <t xml:space="preserve">Развитие продаж  </t>
  </si>
  <si>
    <t xml:space="preserve">Планирование продаж  </t>
  </si>
  <si>
    <t xml:space="preserve">Аналитика продаж  </t>
  </si>
  <si>
    <t xml:space="preserve">Организаторские навыки  </t>
  </si>
  <si>
    <t xml:space="preserve">Навыки продаж  </t>
  </si>
  <si>
    <t xml:space="preserve">Прямые продажи  </t>
  </si>
  <si>
    <t xml:space="preserve">Деловая коммуникация  </t>
  </si>
  <si>
    <t xml:space="preserve">Управление отношениями с клиентами  </t>
  </si>
  <si>
    <t>Управленческие навыки</t>
  </si>
  <si>
    <t xml:space="preserve">Навыки переговоров  </t>
  </si>
  <si>
    <t>KPI</t>
  </si>
  <si>
    <t>Hand Wear,  ЭлитСток, Решения StellarScope, ГринГроув Инновации, НоваВейв Холдингс</t>
  </si>
  <si>
    <t>ЭнвиронКвест, КвантумБлум, СильверЛум, АкваДзен, ЭмберЭдж, ПриродаСфера</t>
  </si>
  <si>
    <t>Космополит, А-ля мод, Дальний план, Influitive, 7Eleven,  Поп-тарт, Фиолетовое манго, Брилансеры</t>
  </si>
  <si>
    <t>Российский юрист, Коллегия юристов, Совет Правды, Слово Закона, СоветникЪ Права, Гарант Права, Законовед</t>
  </si>
  <si>
    <t>Менеджер по продажам. Руководитель отдела продаж.</t>
  </si>
  <si>
    <t xml:space="preserve">Руководитель отдела продаж </t>
  </si>
  <si>
    <t>Руководитель отдела продаж.</t>
  </si>
  <si>
    <t>Компания занимается - производство и поставкой оборудования для кабинетов физики, химии, географии и биологии.
Менеджер по продажам:
- Общение с клиентами по холодным звонкам и выход на ЛПР;
- Работа по теплым заявкам. Конверсия из заявки в продажу 23%;
- Организация встреч, презентация продукта, ведение переговоров;
- Сопровождение сделок и ведение клиента по воронке продаж;
- Выполнение плана продаж. Установила и зафиксировала рекорд компании - 210% выполнения плана.
Руководитель отдела продаж:
- Открыл и развивал группу продаж;
- Составление продающего коммерческого предложения;
- С второго месяца работы группой был выполнен 100% план;
- Вырос средний чек с 30 до 60 тысяч;
- Вывела менеджера без опыта работы на стабильное выполнение плана 100+%.</t>
  </si>
  <si>
    <t xml:space="preserve">Компания занимается - производство систем комплексной очистки воды.
- Построение отдела продаж с нуля;
- Контроль выполнения плановых показателей: конверсии, среднего чека и иных ключевых показателей продаж;
- Разработка системы мотивации сотрудников, профиля сотрудника;
- Разработал и поручил сделать видео-ролики, а также материалы для адаптации и онбординга новых сотрудников, внедрил систему наставничества;
- Запуск программ продвижения и стимулирования продаж;
- Разработал все должностные инструкции и положение по отделу для обновления </t>
  </si>
  <si>
    <t>Компания занимается - производство спец. одежды
Основные сделанные задачи:
- Создание параллельного B2B отдела продаж с 0;
- Построен действующий отдел продаж B2C;
- Обеспечение доступного и эффективного обучения для новых сотрудников, что позволило сократить расходы и время на их адаптацию;
- Снижение текучести кадров за счет быстрого выхода на первую зарплату и повышения мотивации сотрудников;
- Разработал и внедрил прозрачную систему для менеджеров отдела;
-Разработал и передал на утверждение партнерскую программу по продукту. В утвердили и объем продаж вырос на 45%;
- Изменил и дописал устаревшие скрипты для менеджеров, внедрил еженедельные планерки;
- Разработал маркетинговый план на год с учетом необходимых ресурсов и бюджетов.
Ключевые результаты:
За 2021-22 год увеличил объем продаж на 320%.
Выросло кол-во звонков. Раньше было 900, сейчас 1150.</t>
  </si>
  <si>
    <t>Компания занимается - банкротством физических лиц.
Основные задачи: 
- Ежедневный контроль выполнения плановых показателей продаж;
- Контроль конверсии, среднего чека иных ключевых показателей продаж;
- Еженедельные отчеты о проделанной работе собственнику;
- Ежедневные планерки отдела продаж;
- Еженедельные обучения с бизнес-тренером;
- Еженедельные отчеты менеджера по качеству;
- Постановка адекватных планов продаж и плана активных действий;
- Постоянный контроль ведения CRM системы;
- Актуализация скриптов, рабочих файлов;
- Квартальные аттестации
- Эффективная адаптация новых менеджеров по продажам;
- Обратная связь по составу ОП, ролям, качеству сверка параметров отчетов, отчета менеджера по качеству.
- Подготовка регламентов и должностных инструкций для сотрудников отдела продаж
Ключевые результаты:
Увеличили конверсию продажи встречи, до ходимость выросла в 2 раза.
Увеличили конверсию в продажу договора онлайн, и оффлайн.
Увеличили кол-во договоров, с 25 до 40.</t>
  </si>
  <si>
    <t>Январь</t>
  </si>
  <si>
    <t>Май</t>
  </si>
  <si>
    <t>Сентябрь</t>
  </si>
  <si>
    <t>ПОЖАЛУЙСТА, ОЗНАКОМЬТЕСЬ С МОИМ СОПРОВОДИТЕЛЬНЫМ ПИСЬМОМ. Я буду рад поработать с вами. 
- Как руководитель отдела продаж, я возглавляю команду экспертов, которые превышают цели и увеличивают доходы компании. За одну заработную плату, указанную у вас в вакансии, мы с командой, покажем, почему лучше обратиться к нам, чем к штатному РОПу. 
- Мы фокусируемся на построении долгосрочных отношений с партнёрами. За последний год наша команда увеличила объем продаж на 25% благодаря новым инстурментам продаж.
- Готовы на 30 минутной встрече сделать аудит и расписать план дальнейших действий для выхода на нужные показатели. Покажем как работаем с реальными примерами и живыми результатами. 
Ненужно думать, пора зарабатывать! Жду ваших звонков)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</si>
</sst>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FF0000"/>
      <name val="Calibri"/>
      <family val="2"/>
      <charset val="204"/>
    </font>
    <font>
      <sz val="9"/>
      <color rgb="FFFF0000"/>
      <name val="Arial"/>
      <family val="2"/>
      <charset val="204"/>
    </font>
    <font>
      <sz val="11"/>
      <color rgb="FF1E1E1E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rgb="FFCCCCCC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2" borderId="2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left" vertical="top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top" wrapText="1"/>
    </xf>
    <xf numFmtId="0" fontId="0" fillId="8" borderId="2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414E-841D-47AF-938A-20FD9B1817E6}">
  <dimension ref="A1:H54"/>
  <sheetViews>
    <sheetView tabSelected="1" zoomScale="85" zoomScaleNormal="85" workbookViewId="0">
      <selection activeCell="B43" sqref="B43"/>
    </sheetView>
  </sheetViews>
  <sheetFormatPr defaultRowHeight="15" x14ac:dyDescent="0.25"/>
  <cols>
    <col min="1" max="1" width="23.140625" customWidth="1"/>
    <col min="2" max="2" width="17.42578125" customWidth="1"/>
    <col min="3" max="3" width="16.7109375" customWidth="1"/>
    <col min="4" max="4" width="15.42578125" customWidth="1"/>
    <col min="5" max="5" width="16.5703125" customWidth="1"/>
  </cols>
  <sheetData>
    <row r="1" spans="1:8" ht="27" customHeight="1" x14ac:dyDescent="0.25">
      <c r="A1" s="1" t="s">
        <v>0</v>
      </c>
      <c r="B1" s="8" t="s">
        <v>22</v>
      </c>
      <c r="E1" s="2"/>
      <c r="G1" s="3"/>
      <c r="H1" s="3"/>
    </row>
    <row r="2" spans="1:8" x14ac:dyDescent="0.25">
      <c r="E2" s="4"/>
      <c r="G2" s="5"/>
      <c r="H2" s="5"/>
    </row>
    <row r="3" spans="1:8" ht="20.25" customHeight="1" x14ac:dyDescent="0.25">
      <c r="A3" s="10" t="s">
        <v>1</v>
      </c>
      <c r="B3" s="11" t="s">
        <v>2</v>
      </c>
      <c r="E3" s="5"/>
      <c r="F3" s="5"/>
      <c r="G3" s="5"/>
      <c r="H3" s="5"/>
    </row>
    <row r="4" spans="1:8" ht="30" customHeight="1" x14ac:dyDescent="0.25">
      <c r="A4" s="12" t="s">
        <v>3</v>
      </c>
      <c r="B4" s="11" t="s">
        <v>23</v>
      </c>
      <c r="E4" s="5"/>
      <c r="F4" s="5"/>
      <c r="G4" s="5"/>
      <c r="H4" s="5"/>
    </row>
    <row r="5" spans="1:8" ht="28.5" customHeight="1" x14ac:dyDescent="0.25">
      <c r="A5" s="10" t="s">
        <v>4</v>
      </c>
      <c r="B5" s="11" t="s">
        <v>24</v>
      </c>
      <c r="E5" s="5"/>
      <c r="F5" s="5"/>
      <c r="G5" s="5"/>
      <c r="H5" s="5"/>
    </row>
    <row r="6" spans="1:8" ht="24.75" customHeight="1" x14ac:dyDescent="0.25">
      <c r="A6" s="13" t="s">
        <v>5</v>
      </c>
      <c r="B6" s="14">
        <v>2014</v>
      </c>
      <c r="E6" s="5"/>
      <c r="F6" s="5"/>
      <c r="G6" s="5"/>
      <c r="H6" s="5"/>
    </row>
    <row r="7" spans="1:8" x14ac:dyDescent="0.25">
      <c r="E7" s="5"/>
      <c r="F7" s="5"/>
      <c r="G7" s="5"/>
      <c r="H7" s="5"/>
    </row>
    <row r="8" spans="1:8" x14ac:dyDescent="0.25">
      <c r="E8" s="5"/>
      <c r="F8" s="5"/>
      <c r="G8" s="5"/>
      <c r="H8" s="5"/>
    </row>
    <row r="9" spans="1:8" x14ac:dyDescent="0.25">
      <c r="E9" s="5"/>
      <c r="F9" s="5"/>
      <c r="G9" s="5"/>
      <c r="H9" s="5"/>
    </row>
    <row r="10" spans="1:8" x14ac:dyDescent="0.25">
      <c r="A10" s="5"/>
      <c r="E10" s="5"/>
      <c r="F10" s="5"/>
      <c r="G10" s="5"/>
      <c r="H10" s="5"/>
    </row>
    <row r="11" spans="1:8" x14ac:dyDescent="0.25">
      <c r="A11" s="15" t="s">
        <v>6</v>
      </c>
      <c r="B11" s="15" t="s">
        <v>7</v>
      </c>
      <c r="E11" s="5"/>
      <c r="F11" s="5"/>
      <c r="G11" s="5"/>
      <c r="H11" s="5"/>
    </row>
    <row r="12" spans="1:8" x14ac:dyDescent="0.25">
      <c r="A12" s="16">
        <f>15 - COUNTIF(A13:A27,"")</f>
        <v>15</v>
      </c>
      <c r="B12" s="16" t="s">
        <v>8</v>
      </c>
      <c r="E12" s="5"/>
      <c r="F12" s="5"/>
      <c r="G12" s="5"/>
      <c r="H12" s="5"/>
    </row>
    <row r="13" spans="1:8" ht="19.5" customHeight="1" x14ac:dyDescent="0.25">
      <c r="A13" s="17" t="s">
        <v>25</v>
      </c>
      <c r="B13" s="18">
        <v>3</v>
      </c>
      <c r="E13" s="5"/>
      <c r="F13" s="5"/>
      <c r="G13" s="5"/>
      <c r="H13" s="5"/>
    </row>
    <row r="14" spans="1:8" ht="32.25" customHeight="1" x14ac:dyDescent="0.25">
      <c r="A14" s="17" t="s">
        <v>26</v>
      </c>
      <c r="B14" s="18">
        <v>3</v>
      </c>
      <c r="E14" s="5"/>
      <c r="F14" s="5"/>
      <c r="G14" s="5"/>
      <c r="H14" s="5"/>
    </row>
    <row r="15" spans="1:8" ht="19.5" customHeight="1" x14ac:dyDescent="0.25">
      <c r="A15" s="17" t="s">
        <v>27</v>
      </c>
      <c r="B15" s="18">
        <v>3</v>
      </c>
      <c r="E15" s="5"/>
      <c r="F15" s="5"/>
      <c r="G15" s="5"/>
      <c r="H15" s="5"/>
    </row>
    <row r="16" spans="1:8" ht="30" customHeight="1" x14ac:dyDescent="0.25">
      <c r="A16" s="17" t="s">
        <v>28</v>
      </c>
      <c r="B16" s="18">
        <v>2</v>
      </c>
      <c r="E16" s="5"/>
      <c r="F16" s="5"/>
      <c r="G16" s="5"/>
      <c r="H16" s="5"/>
    </row>
    <row r="17" spans="1:8" ht="29.25" customHeight="1" x14ac:dyDescent="0.25">
      <c r="A17" s="17" t="s">
        <v>29</v>
      </c>
      <c r="B17" s="18">
        <v>3</v>
      </c>
      <c r="E17" s="5"/>
      <c r="F17" s="5"/>
      <c r="G17" s="5"/>
      <c r="H17" s="5"/>
    </row>
    <row r="18" spans="1:8" ht="34.5" customHeight="1" x14ac:dyDescent="0.25">
      <c r="A18" s="17" t="s">
        <v>30</v>
      </c>
      <c r="B18" s="18">
        <v>2</v>
      </c>
      <c r="D18" s="6"/>
      <c r="E18" s="6"/>
      <c r="F18" s="6"/>
      <c r="G18" s="6"/>
      <c r="H18" s="6"/>
    </row>
    <row r="19" spans="1:8" ht="35.25" customHeight="1" x14ac:dyDescent="0.25">
      <c r="A19" s="17" t="s">
        <v>31</v>
      </c>
      <c r="B19" s="18">
        <v>2</v>
      </c>
      <c r="D19" s="6"/>
      <c r="E19" s="6"/>
      <c r="F19" s="6"/>
      <c r="G19" s="6"/>
      <c r="H19" s="6"/>
    </row>
    <row r="20" spans="1:8" ht="20.25" customHeight="1" x14ac:dyDescent="0.25">
      <c r="A20" s="19" t="s">
        <v>32</v>
      </c>
      <c r="B20" s="20">
        <v>3</v>
      </c>
      <c r="F20" s="7"/>
      <c r="G20" s="7"/>
      <c r="H20" s="7"/>
    </row>
    <row r="21" spans="1:8" ht="33.75" customHeight="1" x14ac:dyDescent="0.25">
      <c r="A21" s="19" t="s">
        <v>33</v>
      </c>
      <c r="B21" s="20">
        <v>3</v>
      </c>
      <c r="F21" s="6"/>
      <c r="G21" s="7"/>
      <c r="H21" s="7"/>
    </row>
    <row r="22" spans="1:8" ht="21.75" customHeight="1" x14ac:dyDescent="0.25">
      <c r="A22" s="19" t="s">
        <v>34</v>
      </c>
      <c r="B22" s="20">
        <v>2</v>
      </c>
      <c r="F22" s="7"/>
      <c r="G22" s="7"/>
      <c r="H22" s="7"/>
    </row>
    <row r="23" spans="1:8" ht="20.25" customHeight="1" x14ac:dyDescent="0.25">
      <c r="A23" s="19" t="s">
        <v>35</v>
      </c>
      <c r="B23" s="20">
        <v>3</v>
      </c>
      <c r="F23" s="7"/>
      <c r="G23" s="7"/>
      <c r="H23" s="7"/>
    </row>
    <row r="24" spans="1:8" ht="27.75" customHeight="1" x14ac:dyDescent="0.25">
      <c r="A24" s="19" t="s">
        <v>36</v>
      </c>
      <c r="B24" s="20">
        <v>3</v>
      </c>
      <c r="F24" s="6"/>
      <c r="G24" s="6"/>
      <c r="H24" s="6"/>
    </row>
    <row r="25" spans="1:8" ht="24" customHeight="1" x14ac:dyDescent="0.25">
      <c r="A25" s="19" t="s">
        <v>37</v>
      </c>
      <c r="B25" s="20">
        <v>3</v>
      </c>
      <c r="F25" s="7"/>
      <c r="G25" s="7"/>
      <c r="H25" s="7"/>
    </row>
    <row r="26" spans="1:8" x14ac:dyDescent="0.25">
      <c r="A26" s="19" t="s">
        <v>38</v>
      </c>
      <c r="B26" s="20">
        <v>2</v>
      </c>
      <c r="F26" s="6"/>
      <c r="G26" s="6"/>
      <c r="H26" s="6"/>
    </row>
    <row r="27" spans="1:8" x14ac:dyDescent="0.25">
      <c r="A27" s="19" t="s">
        <v>39</v>
      </c>
      <c r="B27" s="20">
        <v>3</v>
      </c>
      <c r="F27" s="7"/>
      <c r="G27" s="7"/>
      <c r="H27" s="7"/>
    </row>
    <row r="28" spans="1:8" x14ac:dyDescent="0.25">
      <c r="F28" s="6"/>
      <c r="G28" s="6"/>
      <c r="H28" s="6"/>
    </row>
    <row r="29" spans="1:8" x14ac:dyDescent="0.25">
      <c r="F29" s="6"/>
      <c r="G29" s="6"/>
      <c r="H29" s="6"/>
    </row>
    <row r="30" spans="1:8" x14ac:dyDescent="0.25">
      <c r="A30" s="21">
        <f>4 - COUNTIF(B31:E31,"")</f>
        <v>4</v>
      </c>
      <c r="B30" s="22" t="s">
        <v>9</v>
      </c>
      <c r="C30" s="22" t="s">
        <v>10</v>
      </c>
      <c r="D30" s="22" t="s">
        <v>11</v>
      </c>
      <c r="E30" s="22" t="s">
        <v>12</v>
      </c>
      <c r="F30" s="6"/>
      <c r="G30" s="6"/>
      <c r="H30" s="6"/>
    </row>
    <row r="31" spans="1:8" ht="66" customHeight="1" x14ac:dyDescent="0.25">
      <c r="A31" s="22" t="s">
        <v>13</v>
      </c>
      <c r="B31" s="23" t="s">
        <v>40</v>
      </c>
      <c r="C31" s="23" t="s">
        <v>41</v>
      </c>
      <c r="D31" s="23" t="s">
        <v>42</v>
      </c>
      <c r="E31" s="24" t="s">
        <v>43</v>
      </c>
      <c r="F31" s="6"/>
      <c r="G31" s="6"/>
      <c r="H31" s="6"/>
    </row>
    <row r="32" spans="1:8" ht="42" customHeight="1" x14ac:dyDescent="0.25">
      <c r="A32" s="22" t="s">
        <v>14</v>
      </c>
      <c r="B32" s="23" t="s">
        <v>44</v>
      </c>
      <c r="C32" s="23" t="s">
        <v>22</v>
      </c>
      <c r="D32" s="23" t="s">
        <v>45</v>
      </c>
      <c r="E32" s="24" t="s">
        <v>46</v>
      </c>
      <c r="F32" s="6"/>
      <c r="G32" s="6"/>
      <c r="H32" s="6"/>
    </row>
    <row r="33" spans="1:8" ht="409.5" x14ac:dyDescent="0.25">
      <c r="A33" s="22" t="s">
        <v>15</v>
      </c>
      <c r="B33" s="23" t="s">
        <v>47</v>
      </c>
      <c r="C33" s="23" t="s">
        <v>48</v>
      </c>
      <c r="D33" s="23" t="s">
        <v>49</v>
      </c>
      <c r="E33" s="24" t="s">
        <v>50</v>
      </c>
      <c r="F33" s="6"/>
      <c r="G33" s="6"/>
      <c r="H33" s="6"/>
    </row>
    <row r="34" spans="1:8" x14ac:dyDescent="0.25">
      <c r="A34" s="22" t="s">
        <v>16</v>
      </c>
      <c r="B34" s="25" t="s">
        <v>51</v>
      </c>
      <c r="C34" s="25" t="s">
        <v>52</v>
      </c>
      <c r="D34" s="25" t="s">
        <v>53</v>
      </c>
      <c r="E34" s="26" t="s">
        <v>17</v>
      </c>
      <c r="F34" s="6"/>
      <c r="G34" s="6"/>
      <c r="H34" s="6"/>
    </row>
    <row r="35" spans="1:8" x14ac:dyDescent="0.25">
      <c r="A35" s="22" t="s">
        <v>18</v>
      </c>
      <c r="B35" s="25">
        <v>2015</v>
      </c>
      <c r="C35" s="25">
        <v>2018</v>
      </c>
      <c r="D35" s="25">
        <v>2020</v>
      </c>
      <c r="E35" s="26">
        <v>2023</v>
      </c>
      <c r="F35" s="6"/>
      <c r="G35" s="6"/>
      <c r="H35" s="6"/>
    </row>
    <row r="36" spans="1:8" x14ac:dyDescent="0.25">
      <c r="A36" s="22" t="s">
        <v>19</v>
      </c>
      <c r="B36" s="25" t="s">
        <v>52</v>
      </c>
      <c r="C36" s="25" t="s">
        <v>53</v>
      </c>
      <c r="D36" s="25" t="s">
        <v>17</v>
      </c>
      <c r="E36" s="26" t="s">
        <v>20</v>
      </c>
      <c r="F36" s="6"/>
      <c r="G36" s="6"/>
      <c r="H36" s="6"/>
    </row>
    <row r="37" spans="1:8" x14ac:dyDescent="0.25">
      <c r="A37" s="22" t="s">
        <v>21</v>
      </c>
      <c r="B37" s="25">
        <v>2018</v>
      </c>
      <c r="C37" s="25">
        <v>2020</v>
      </c>
      <c r="D37" s="25">
        <v>2023</v>
      </c>
      <c r="E37" s="26"/>
      <c r="F37" s="6"/>
      <c r="G37" s="6"/>
      <c r="H37" s="6"/>
    </row>
    <row r="38" spans="1:8" x14ac:dyDescent="0.25">
      <c r="A38" s="6"/>
      <c r="B38" s="27">
        <f>MATCH(B34,{"Январь";"Февраль";"Март";"Апрель";"Май";"Июнь";"Июль";"Август";"Сентябрь";"Октябрь";"Ноябрь";"Декабрь"},)</f>
        <v>1</v>
      </c>
      <c r="C38" s="27">
        <f>MATCH(C34,{"Январь";"Февраль";"Март";"Апрель";"Май";"Июнь";"Июль";"Август";"Сентябрь";"Октябрь";"Ноябрь";"Декабрь"},)</f>
        <v>5</v>
      </c>
      <c r="D38" s="27">
        <f>MATCH(D34,{"Январь";"Февраль";"Март";"Апрель";"Май";"Июнь";"Июль";"Август";"Сентябрь";"Октябрь";"Ноябрь";"Декабрь"},)</f>
        <v>9</v>
      </c>
      <c r="E38" s="27">
        <f>MATCH(E34,{"Январь";"Февраль";"Март";"Апрель";"Май";"Июнь";"Июль";"Август";"Сентябрь";"Октябрь";"Ноябрь";"Декабрь"},)</f>
        <v>2</v>
      </c>
      <c r="F38" s="6"/>
      <c r="G38" s="6"/>
      <c r="H38" s="6"/>
    </row>
    <row r="39" spans="1:8" x14ac:dyDescent="0.25">
      <c r="A39" s="6"/>
      <c r="B39" s="21">
        <f>MATCH(B36,{"Январь";"Февраль";"Март";"Апрель";"Май";"Июнь";"Июль";"Август";"Сентябрь";"Октябрь";"Ноябрь";"Декабрь";"НВ"},)</f>
        <v>5</v>
      </c>
      <c r="C39" s="21">
        <f>MATCH(C36,{"Январь";"Февраль";"Март";"Апрель";"Май";"Июнь";"Июль";"Август";"Сентябрь";"Октябрь";"Ноябрь";"Декабрь";"НВ"},)</f>
        <v>9</v>
      </c>
      <c r="D39" s="21">
        <f>MATCH(D36,{"Январь";"Февраль";"Март";"Апрель";"Май";"Июнь";"Июль";"Август";"Сентябрь";"Октябрь";"Ноябрь";"Декабрь";"НВ"},)</f>
        <v>2</v>
      </c>
      <c r="E39" s="21">
        <f>MATCH(E36,{"Январь";"Февраль";"Март";"Апрель";"Май";"Июнь";"Июль";"Август";"Сентябрь";"Октябрь";"Ноябрь";"Декабрь";"НВ"},)</f>
        <v>13</v>
      </c>
      <c r="F39" s="6"/>
      <c r="G39" s="6"/>
      <c r="H39" s="6"/>
    </row>
    <row r="40" spans="1:8" x14ac:dyDescent="0.25">
      <c r="A40" s="6"/>
      <c r="B40" s="9"/>
      <c r="C40" s="9"/>
      <c r="D40" s="9"/>
      <c r="E40" s="9"/>
      <c r="F40" s="6"/>
      <c r="G40" s="6"/>
      <c r="H40" s="6"/>
    </row>
    <row r="41" spans="1:8" x14ac:dyDescent="0.25">
      <c r="A41" s="6"/>
      <c r="B41" s="9"/>
      <c r="C41" s="9"/>
      <c r="D41" s="9"/>
      <c r="E41" s="9"/>
      <c r="F41" s="6"/>
      <c r="G41" s="6"/>
      <c r="H41" s="6"/>
    </row>
    <row r="42" spans="1:8" x14ac:dyDescent="0.25">
      <c r="A42" s="15" t="s">
        <v>15</v>
      </c>
      <c r="B42" s="9"/>
      <c r="C42" s="9"/>
      <c r="D42" s="9"/>
      <c r="E42" s="9"/>
      <c r="F42" s="6"/>
      <c r="G42" s="6"/>
      <c r="H42" s="6"/>
    </row>
    <row r="43" spans="1:8" ht="409.5" x14ac:dyDescent="0.25">
      <c r="A43" s="17" t="s">
        <v>54</v>
      </c>
      <c r="B43" s="9"/>
      <c r="C43" s="9"/>
      <c r="D43" s="9"/>
      <c r="E43" s="9"/>
      <c r="F43" s="6"/>
      <c r="G43" s="6"/>
      <c r="H43" s="6"/>
    </row>
    <row r="44" spans="1:8" x14ac:dyDescent="0.25">
      <c r="A44" s="6"/>
      <c r="B44" s="6"/>
      <c r="C44" s="6"/>
      <c r="D44" s="6"/>
      <c r="E44" s="6"/>
      <c r="F44" s="6"/>
      <c r="G44" s="6"/>
      <c r="H44" s="6"/>
    </row>
    <row r="45" spans="1:8" x14ac:dyDescent="0.25">
      <c r="A45" s="6"/>
      <c r="B45" s="6"/>
      <c r="C45" s="6"/>
      <c r="D45" s="6"/>
      <c r="E45" s="6"/>
      <c r="F45" s="6"/>
      <c r="G45" s="6"/>
      <c r="H45" s="6"/>
    </row>
    <row r="46" spans="1:8" x14ac:dyDescent="0.25">
      <c r="A46" s="6"/>
      <c r="B46" s="6"/>
      <c r="C46" s="6"/>
      <c r="D46" s="6"/>
      <c r="E46" s="6"/>
      <c r="F46" s="6"/>
      <c r="G46" s="6"/>
      <c r="H46" s="6"/>
    </row>
    <row r="47" spans="1:8" x14ac:dyDescent="0.25">
      <c r="A47" s="6"/>
      <c r="B47" s="6"/>
      <c r="C47" s="6"/>
      <c r="D47" s="6"/>
      <c r="E47" s="6"/>
      <c r="F47" s="6"/>
      <c r="G47" s="6"/>
      <c r="H47" s="6"/>
    </row>
    <row r="48" spans="1:8" x14ac:dyDescent="0.25">
      <c r="A48" s="6"/>
      <c r="B48" s="6"/>
      <c r="C48" s="6"/>
      <c r="D48" s="6"/>
      <c r="E48" s="6"/>
      <c r="F48" s="6"/>
      <c r="G48" s="6"/>
      <c r="H48" s="6"/>
    </row>
    <row r="49" spans="1:8" x14ac:dyDescent="0.25">
      <c r="A49" s="6"/>
      <c r="B49" s="6"/>
      <c r="C49" s="6"/>
      <c r="D49" s="6"/>
      <c r="E49" s="6"/>
      <c r="F49" s="6"/>
      <c r="G49" s="6"/>
      <c r="H49" s="6"/>
    </row>
    <row r="50" spans="1:8" x14ac:dyDescent="0.25">
      <c r="A50" s="6"/>
      <c r="B50" s="6"/>
      <c r="C50" s="6"/>
      <c r="D50" s="6"/>
      <c r="E50" s="6"/>
      <c r="F50" s="6"/>
      <c r="G50" s="6"/>
      <c r="H50" s="6"/>
    </row>
    <row r="51" spans="1:8" x14ac:dyDescent="0.25">
      <c r="A51" s="6"/>
      <c r="B51" s="6"/>
      <c r="C51" s="6"/>
      <c r="D51" s="6"/>
      <c r="E51" s="6"/>
      <c r="F51" s="6"/>
      <c r="G51" s="6"/>
      <c r="H51" s="6"/>
    </row>
    <row r="52" spans="1:8" x14ac:dyDescent="0.25">
      <c r="A52" s="6"/>
      <c r="B52" s="6"/>
      <c r="C52" s="6"/>
      <c r="D52" s="6"/>
      <c r="E52" s="6"/>
      <c r="F52" s="6"/>
      <c r="G52" s="6"/>
      <c r="H52" s="6"/>
    </row>
    <row r="53" spans="1:8" x14ac:dyDescent="0.25">
      <c r="A53" s="6"/>
      <c r="B53" s="6"/>
      <c r="C53" s="6"/>
      <c r="D53" s="6"/>
      <c r="E53" s="6"/>
      <c r="F53" s="6"/>
      <c r="G53" s="6"/>
      <c r="H53" s="6"/>
    </row>
    <row r="54" spans="1:8" x14ac:dyDescent="0.25">
      <c r="A54" s="6"/>
      <c r="B54" s="6"/>
      <c r="C54" s="6"/>
      <c r="D54" s="6"/>
      <c r="E54" s="6"/>
      <c r="F54" s="6"/>
      <c r="G54" s="6"/>
      <c r="H54" s="6"/>
    </row>
  </sheetData>
  <dataValidations count="1">
    <dataValidation type="list" operator="equal" allowBlank="1" showErrorMessage="1" sqref="B3" xr:uid="{FD0AF102-C9D7-4D27-A98C-30F2A6D2715D}">
      <formula1>"Среднее,Среднее специальное,Неоконченное высшее,Высшее,Бакалавр,Магистр,Кандидат наук,Доктор наук"</formula1>
      <formula2>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Радион</dc:creator>
  <cp:lastModifiedBy>Радион</cp:lastModifiedBy>
  <dcterms:created xsi:type="dcterms:W3CDTF">2025-03-27T19:11:10Z</dcterms:created>
  <dcterms:modified xsi:type="dcterms:W3CDTF">2025-03-27T19:32:24Z</dcterms:modified>
</cp:coreProperties>
</file>